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D:\개발(2023)\시스템AI기능\"/>
    </mc:Choice>
  </mc:AlternateContent>
  <bookViews>
    <workbookView xWindow="0" yWindow="0" windowWidth="25125" windowHeight="12255"/>
  </bookViews>
  <sheets>
    <sheet name="온도예측모델" sheetId="1" r:id="rId1"/>
    <sheet name="(변수의범위)" sheetId="2" r:id="rId2"/>
    <sheet name="에너지예측모델" sheetId="3" r:id="rId3"/>
  </sheets>
  <functionGroups builtInGroupCount="18"/>
  <externalReferences>
    <externalReference r:id="rId4"/>
    <externalReference r:id="rId5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1" i="2" l="1"/>
  <c r="B8" i="2"/>
  <c r="B9" i="2" s="1"/>
  <c r="B7" i="2"/>
  <c r="C18" i="2"/>
  <c r="C19" i="2"/>
  <c r="D33" i="2" l="1"/>
  <c r="D34" i="2" s="1"/>
  <c r="B11" i="2"/>
  <c r="D36" i="2"/>
  <c r="C13" i="2" l="1"/>
  <c r="C16" i="2" s="1"/>
  <c r="D27" i="2" s="1"/>
  <c r="D30" i="2" s="1"/>
  <c r="C12" i="2"/>
  <c r="C15" i="2" s="1"/>
  <c r="D28" i="2" s="1"/>
  <c r="D31" i="2" s="1"/>
  <c r="D38" i="2"/>
  <c r="D37" i="2"/>
</calcChain>
</file>

<file path=xl/sharedStrings.xml><?xml version="1.0" encoding="utf-8"?>
<sst xmlns="http://schemas.openxmlformats.org/spreadsheetml/2006/main" count="192" uniqueCount="166">
  <si>
    <t>1. 개요</t>
    <phoneticPr fontId="1" type="noConversion"/>
  </si>
  <si>
    <t>2. 모델 작성</t>
    <phoneticPr fontId="1" type="noConversion"/>
  </si>
  <si>
    <t>3. 모델링 결과</t>
    <phoneticPr fontId="1" type="noConversion"/>
  </si>
  <si>
    <r>
      <t>냉방 Procative Control (</t>
    </r>
    <r>
      <rPr>
        <b/>
        <sz val="11"/>
        <color theme="1"/>
        <rFont val="맑은 고딕"/>
        <family val="3"/>
        <charset val="129"/>
        <scheme val="minor"/>
      </rPr>
      <t>지도 학습, 강화 학습</t>
    </r>
    <r>
      <rPr>
        <sz val="11"/>
        <color theme="1"/>
        <rFont val="맑은 고딕"/>
        <family val="2"/>
        <charset val="129"/>
        <scheme val="minor"/>
      </rPr>
      <t xml:space="preserve">으로 시스템 특성을 파악하여 쾌적성 유지 및 에너지 절감 추진) </t>
    </r>
    <r>
      <rPr>
        <b/>
        <sz val="11"/>
        <color theme="1"/>
        <rFont val="맑은 고딕"/>
        <family val="3"/>
        <charset val="129"/>
        <scheme val="minor"/>
      </rPr>
      <t>→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b/>
        <sz val="11"/>
        <color theme="1"/>
        <rFont val="맑은 고딕"/>
        <family val="3"/>
        <charset val="129"/>
        <scheme val="minor"/>
      </rPr>
      <t>이론적 지식을 바탕</t>
    </r>
    <r>
      <rPr>
        <sz val="11"/>
        <color theme="1"/>
        <rFont val="맑은 고딕"/>
        <family val="2"/>
        <charset val="129"/>
        <scheme val="minor"/>
      </rPr>
      <t>으로 현장 데이터를 이용한 시스템 특성 파악</t>
    </r>
    <phoneticPr fontId="1" type="noConversion"/>
  </si>
  <si>
    <t>Ri : 벽체 - 실내간 열전달 저항</t>
    <phoneticPr fontId="1" type="noConversion"/>
  </si>
  <si>
    <t>Ro : 벽체 - 실외간 열전달 저항</t>
    <phoneticPr fontId="1" type="noConversion"/>
  </si>
  <si>
    <t>[K/kW]</t>
    <phoneticPr fontId="1" type="noConversion"/>
  </si>
  <si>
    <t>Ci : 벽체 열용량</t>
    <phoneticPr fontId="1" type="noConversion"/>
  </si>
  <si>
    <t>[kJ/K]</t>
    <phoneticPr fontId="1" type="noConversion"/>
  </si>
  <si>
    <t>Ce : 벽체 열용량</t>
    <phoneticPr fontId="1" type="noConversion"/>
  </si>
  <si>
    <t>To : 외기 온도</t>
    <phoneticPr fontId="1" type="noConversion"/>
  </si>
  <si>
    <t>Ti : 실내 온도</t>
    <phoneticPr fontId="1" type="noConversion"/>
  </si>
  <si>
    <t>Te : 벽체 온도</t>
    <phoneticPr fontId="1" type="noConversion"/>
  </si>
  <si>
    <t>[℃]</t>
    <phoneticPr fontId="1" type="noConversion"/>
  </si>
  <si>
    <t>지배 방정식</t>
    <phoneticPr fontId="1" type="noConversion"/>
  </si>
  <si>
    <t>벽체의 온도 변화</t>
    <phoneticPr fontId="1" type="noConversion"/>
  </si>
  <si>
    <t>실내의 온도 변화</t>
    <phoneticPr fontId="1" type="noConversion"/>
  </si>
  <si>
    <t>f2 : 내부 발생 부하</t>
    <phoneticPr fontId="1" type="noConversion"/>
  </si>
  <si>
    <t>풀이 방법</t>
    <phoneticPr fontId="1" type="noConversion"/>
  </si>
  <si>
    <t>건물 자체의 특성(Ri, Ro, Ci, Ce)는 제품을 사용하지 않은 시간을 이용하여 도출함</t>
    <phoneticPr fontId="1" type="noConversion"/>
  </si>
  <si>
    <t>→ 금요일 22:00 ~ 월 7:00 (23.7.1 ~ 23.7.4)</t>
    <phoneticPr fontId="1" type="noConversion"/>
  </si>
  <si>
    <t>건물 자체의 특성시 벽체 온도의 최초값은 가정하지 않고 변수로 두어야 함</t>
    <phoneticPr fontId="1" type="noConversion"/>
  </si>
  <si>
    <t>f1 : 세트 발생 열량</t>
    <phoneticPr fontId="1" type="noConversion"/>
  </si>
  <si>
    <t>→ 다양한 용도의 건물을 감안하면 이 가정은 항상 유효하지는 않음</t>
    <phoneticPr fontId="1" type="noConversion"/>
  </si>
  <si>
    <t>내부 발열 부하는 근무 시간(9:00~18:00)에만 발생하는 것으로 가정하였음</t>
    <phoneticPr fontId="1" type="noConversion"/>
  </si>
  <si>
    <t>→ 정지 시간이 없는 건물에서는 이 방법을 쓸 수 없음</t>
    <phoneticPr fontId="1" type="noConversion"/>
  </si>
  <si>
    <t>전체 변수에 대한 풀이를 동시에 진행하면 해결될 수 있음</t>
    <phoneticPr fontId="1" type="noConversion"/>
  </si>
  <si>
    <t>세트 발생 열량은 실내기 운전율(op_rate), 목표 저압(target_press)에 대한 함수로 처리함</t>
    <phoneticPr fontId="1" type="noConversion"/>
  </si>
  <si>
    <t>f2 = a*op_rate + b*target_press + c*op_rate*target_press + d</t>
    <phoneticPr fontId="1" type="noConversion"/>
  </si>
  <si>
    <t>범용 솔루션을 위해 내부 발열 부하를 예측하는 방법도 고안해야 함</t>
    <phoneticPr fontId="1" type="noConversion"/>
  </si>
  <si>
    <t>내부 발열 부하의 변화를 알 수는 없으므로 고정값으로 처리</t>
    <phoneticPr fontId="1" type="noConversion"/>
  </si>
  <si>
    <t>(미발생 또는 발생)</t>
    <phoneticPr fontId="1" type="noConversion"/>
  </si>
  <si>
    <t>각 변수는 물리적으로 가능한 범위 내에서 풀이가 진행되도록 함</t>
    <phoneticPr fontId="1" type="noConversion"/>
  </si>
  <si>
    <t>대류 열전달 범위</t>
    <phoneticPr fontId="1" type="noConversion"/>
  </si>
  <si>
    <t>W/m2K</t>
    <phoneticPr fontId="1" type="noConversion"/>
  </si>
  <si>
    <t>내부</t>
    <phoneticPr fontId="1" type="noConversion"/>
  </si>
  <si>
    <t>평</t>
    <phoneticPr fontId="1" type="noConversion"/>
  </si>
  <si>
    <t>m2</t>
    <phoneticPr fontId="1" type="noConversion"/>
  </si>
  <si>
    <t>m</t>
    <phoneticPr fontId="1" type="noConversion"/>
  </si>
  <si>
    <t>m(높이)</t>
    <phoneticPr fontId="1" type="noConversion"/>
  </si>
  <si>
    <t>m2(표면적)</t>
    <phoneticPr fontId="1" type="noConversion"/>
  </si>
  <si>
    <t>최소</t>
    <phoneticPr fontId="1" type="noConversion"/>
  </si>
  <si>
    <t>W/K</t>
    <phoneticPr fontId="1" type="noConversion"/>
  </si>
  <si>
    <t>최대</t>
    <phoneticPr fontId="1" type="noConversion"/>
  </si>
  <si>
    <t>K/kW</t>
    <phoneticPr fontId="1" type="noConversion"/>
  </si>
  <si>
    <t>공기 비열</t>
    <phoneticPr fontId="1" type="noConversion"/>
  </si>
  <si>
    <t>kJ/kgK</t>
    <phoneticPr fontId="1" type="noConversion"/>
  </si>
  <si>
    <t>공기 밀도</t>
    <phoneticPr fontId="1" type="noConversion"/>
  </si>
  <si>
    <t>kg/m3</t>
    <phoneticPr fontId="1" type="noConversion"/>
  </si>
  <si>
    <t>벽체 비열</t>
    <phoneticPr fontId="1" type="noConversion"/>
  </si>
  <si>
    <t>kcal/kgK</t>
    <phoneticPr fontId="1" type="noConversion"/>
  </si>
  <si>
    <t>벽체 밀도</t>
    <phoneticPr fontId="1" type="noConversion"/>
  </si>
  <si>
    <t>벽 두께</t>
    <phoneticPr fontId="1" type="noConversion"/>
  </si>
  <si>
    <t>mm</t>
    <phoneticPr fontId="1" type="noConversion"/>
  </si>
  <si>
    <t>Ri</t>
    <phoneticPr fontId="1" type="noConversion"/>
  </si>
  <si>
    <t>Ro</t>
    <phoneticPr fontId="1" type="noConversion"/>
  </si>
  <si>
    <t>Ci</t>
    <phoneticPr fontId="1" type="noConversion"/>
  </si>
  <si>
    <t>kJ/K</t>
    <phoneticPr fontId="1" type="noConversion"/>
  </si>
  <si>
    <t>Ce</t>
    <phoneticPr fontId="1" type="noConversion"/>
  </si>
  <si>
    <t>표준</t>
    <phoneticPr fontId="1" type="noConversion"/>
  </si>
  <si>
    <t xml:space="preserve">Ri   =     0.296298 </t>
  </si>
  <si>
    <t xml:space="preserve">Ro   =     1.262322 </t>
  </si>
  <si>
    <t xml:space="preserve">Ci   =  1263.760214 </t>
  </si>
  <si>
    <t xml:space="preserve">Ce   = 81085.675231 </t>
  </si>
  <si>
    <t xml:space="preserve">Ri  =       0.172560  </t>
  </si>
  <si>
    <t xml:space="preserve">Ro  =       1.798633 </t>
  </si>
  <si>
    <t xml:space="preserve">Ci  =    1157.592162  </t>
  </si>
  <si>
    <t xml:space="preserve">Ce  =  100446.997227 </t>
  </si>
  <si>
    <t xml:space="preserve">err  =    2.251970  </t>
    <phoneticPr fontId="1" type="noConversion"/>
  </si>
  <si>
    <t xml:space="preserve">err  =  2.023524e+00 </t>
    <phoneticPr fontId="1" type="noConversion"/>
  </si>
  <si>
    <t>Unit1(3층) / 8HP</t>
    <phoneticPr fontId="1" type="noConversion"/>
  </si>
  <si>
    <t>Unit2(2층) / 10HP</t>
    <phoneticPr fontId="1" type="noConversion"/>
  </si>
  <si>
    <t xml:space="preserve">b  =    0.216114 </t>
    <phoneticPr fontId="1" type="noConversion"/>
  </si>
  <si>
    <t>b =   8.769830e-02</t>
    <phoneticPr fontId="1" type="noConversion"/>
  </si>
  <si>
    <t xml:space="preserve">c =  2.307840 </t>
    <phoneticPr fontId="1" type="noConversion"/>
  </si>
  <si>
    <t xml:space="preserve">c =  2.642250e+00 </t>
    <phoneticPr fontId="1" type="noConversion"/>
  </si>
  <si>
    <t xml:space="preserve">a  =  -28.649686 </t>
    <phoneticPr fontId="1" type="noConversion"/>
  </si>
  <si>
    <t xml:space="preserve">a =   -3.500000e+01 </t>
    <phoneticPr fontId="1" type="noConversion"/>
  </si>
  <si>
    <t xml:space="preserve">d  =   -0.585024 </t>
    <phoneticPr fontId="1" type="noConversion"/>
  </si>
  <si>
    <t xml:space="preserve">d   =  2.227854e+00 </t>
    <phoneticPr fontId="1" type="noConversion"/>
  </si>
  <si>
    <t xml:space="preserve">내부 부하  =    0.390904 </t>
    <phoneticPr fontId="1" type="noConversion"/>
  </si>
  <si>
    <t>내부 부하   =  2.232786e-10</t>
    <phoneticPr fontId="1" type="noConversion"/>
  </si>
  <si>
    <t>coef_amb</t>
    <phoneticPr fontId="1" type="noConversion"/>
  </si>
  <si>
    <t>-0.3, -0.17, -0.03, 0.1</t>
  </si>
  <si>
    <t>coef_delta</t>
  </si>
  <si>
    <t>-0.3, -0.15, 0.0</t>
  </si>
  <si>
    <t>12개(4*3) 조합 중 선택</t>
    <phoneticPr fontId="1" type="noConversion"/>
  </si>
  <si>
    <t>실외온도 : 최근 3일간의 시간별 평균 온도 데이터 (5분 간격)</t>
    <phoneticPr fontId="1" type="noConversion"/>
  </si>
  <si>
    <t>운전율 : 75%</t>
    <phoneticPr fontId="1" type="noConversion"/>
  </si>
  <si>
    <t>설정온도 24℃</t>
    <phoneticPr fontId="1" type="noConversion"/>
  </si>
  <si>
    <t>정책 선정을 위한 가정</t>
    <phoneticPr fontId="1" type="noConversion"/>
  </si>
  <si>
    <t>쾌적성과 에너지 측면의 Reward로 평가</t>
    <phoneticPr fontId="1" type="noConversion"/>
  </si>
  <si>
    <t>쾌적성 : 설정온도와 실내온도의 관계로 평가</t>
    <phoneticPr fontId="1" type="noConversion"/>
  </si>
  <si>
    <t>else:</t>
  </si>
  <si>
    <t>if 실내온도 - 설정온도 &lt; 1:</t>
    <phoneticPr fontId="1" type="noConversion"/>
  </si>
  <si>
    <t>elif 실내온도 - 설정온도 &lt; 2:</t>
    <phoneticPr fontId="1" type="noConversion"/>
  </si>
  <si>
    <t>elif 실내온도 - 설정온도 &lt; 3:</t>
    <phoneticPr fontId="1" type="noConversion"/>
  </si>
  <si>
    <t>elif 실내온도 - 설정온도 &lt; 4:</t>
    <phoneticPr fontId="1" type="noConversion"/>
  </si>
  <si>
    <t>쾌적성 점수 = 100</t>
    <phoneticPr fontId="1" type="noConversion"/>
  </si>
  <si>
    <t>쾌적성 점수 = 90</t>
    <phoneticPr fontId="1" type="noConversion"/>
  </si>
  <si>
    <t>쾌적성 점수 = 70</t>
    <phoneticPr fontId="1" type="noConversion"/>
  </si>
  <si>
    <t>쾌적성 점수 = 50</t>
    <phoneticPr fontId="1" type="noConversion"/>
  </si>
  <si>
    <t>쾌적성 점수 = 0</t>
    <phoneticPr fontId="1" type="noConversion"/>
  </si>
  <si>
    <t>에너지 측면 : 표준소비전력 대비 소비전력의 비율을 음수로 표시</t>
    <phoneticPr fontId="1" type="noConversion"/>
  </si>
  <si>
    <t>에너지 점수 = (-1) * 누적 에너지 / 표준소비전력</t>
    <phoneticPr fontId="1" type="noConversion"/>
  </si>
  <si>
    <t>※ 표준 소비 전력 = 5일, 8시간(1일당), 8HP(해당 제품의 용량), 2.9kW(1마력당 kW), 표준 효율 3.0, 표준 운전율 75% [kWh]</t>
    <phoneticPr fontId="1" type="noConversion"/>
  </si>
  <si>
    <t>최종 Reward = 쾌적성 점수 + 에너지 점수</t>
    <phoneticPr fontId="1" type="noConversion"/>
  </si>
  <si>
    <r>
      <rPr>
        <b/>
        <sz val="11"/>
        <color rgb="FFC00000"/>
        <rFont val="맑은 고딕"/>
        <family val="3"/>
        <charset val="129"/>
        <scheme val="minor"/>
      </rPr>
      <t>1주일</t>
    </r>
    <r>
      <rPr>
        <sz val="11"/>
        <color theme="1"/>
        <rFont val="맑은 고딕"/>
        <family val="2"/>
        <charset val="129"/>
        <scheme val="minor"/>
      </rPr>
      <t>마다 12개의 시나리오 중 Reward가 가장 높은 것을 선택</t>
    </r>
    <phoneticPr fontId="1" type="noConversion"/>
  </si>
  <si>
    <t>4. 정책 선정</t>
    <phoneticPr fontId="1" type="noConversion"/>
  </si>
  <si>
    <r>
      <t xml:space="preserve">선택된 정책에 의해 결정되는 </t>
    </r>
    <r>
      <rPr>
        <b/>
        <sz val="11"/>
        <color rgb="FFC00000"/>
        <rFont val="맑은 고딕"/>
        <family val="3"/>
        <charset val="129"/>
        <scheme val="minor"/>
      </rPr>
      <t>목표 압력을 10분마다 갱신</t>
    </r>
    <phoneticPr fontId="1" type="noConversion"/>
  </si>
  <si>
    <t>데이터 기반으로 각 변수를 찾아냄</t>
    <phoneticPr fontId="1" type="noConversion"/>
  </si>
  <si>
    <t>※ err 항은 물리적으로는 불필요하나, 해를 찾기 위해서 선언되어야 함</t>
    <phoneticPr fontId="1" type="noConversion"/>
  </si>
  <si>
    <t>데이터 선택</t>
    <phoneticPr fontId="1" type="noConversion"/>
  </si>
  <si>
    <t>1) 모든 실내기의  Operation On/Off, Thremo On/Off 상태가 6분 이상 고정되어야 함</t>
    <phoneticPr fontId="1" type="noConversion"/>
  </si>
  <si>
    <t>2) 실외기의 운전 모드는 '일반 운전'으로 6분 이상 고정되어야 함</t>
    <phoneticPr fontId="1" type="noConversion"/>
  </si>
  <si>
    <t>실내온도 예측 모델</t>
    <phoneticPr fontId="1" type="noConversion"/>
  </si>
  <si>
    <t>경희대 RC 모델</t>
    <phoneticPr fontId="1" type="noConversion"/>
  </si>
  <si>
    <t>상기 2가지를 만족시키는 데이터를 5분 간격으로 평균냄</t>
    <phoneticPr fontId="1" type="noConversion"/>
  </si>
  <si>
    <t>→ 평균 데이터에서 목표압력과의 편차가 1kgf/cm2 이상인 것 제외, 압축기 주파수가 20Hz 이하인 것 제외</t>
    <phoneticPr fontId="1" type="noConversion"/>
  </si>
  <si>
    <t>소비전력 예측 모델</t>
    <phoneticPr fontId="1" type="noConversion"/>
  </si>
  <si>
    <t>삼성전자</t>
    <phoneticPr fontId="1" type="noConversion"/>
  </si>
  <si>
    <t>[최종 데이터 참조]</t>
    <phoneticPr fontId="1" type="noConversion"/>
  </si>
  <si>
    <t>정책 시나리오</t>
    <phoneticPr fontId="1" type="noConversion"/>
  </si>
  <si>
    <t>모델링</t>
    <phoneticPr fontId="1" type="noConversion"/>
  </si>
  <si>
    <r>
      <t xml:space="preserve">1단계 : </t>
    </r>
    <r>
      <rPr>
        <b/>
        <sz val="11"/>
        <color theme="1"/>
        <rFont val="맑은 고딕"/>
        <family val="3"/>
        <charset val="129"/>
        <scheme val="minor"/>
      </rPr>
      <t>실외온도, 실내기 운전율, 저압, 저압측 ΔT(실내온도 - 저압 포화온도)</t>
    </r>
    <r>
      <rPr>
        <sz val="11"/>
        <color theme="1"/>
        <rFont val="맑은 고딕"/>
        <family val="2"/>
        <charset val="129"/>
        <scheme val="minor"/>
      </rPr>
      <t xml:space="preserve">를 바탕으로 </t>
    </r>
    <r>
      <rPr>
        <b/>
        <sz val="11"/>
        <color theme="1"/>
        <rFont val="맑은 고딕"/>
        <family val="3"/>
        <charset val="129"/>
        <scheme val="minor"/>
      </rPr>
      <t>고압측 ΔT(고압 포화온도 - 실외온도)</t>
    </r>
    <r>
      <rPr>
        <sz val="11"/>
        <color theme="1"/>
        <rFont val="맑은 고딕"/>
        <family val="2"/>
        <charset val="129"/>
        <scheme val="minor"/>
      </rPr>
      <t xml:space="preserve"> 모델링</t>
    </r>
    <phoneticPr fontId="1" type="noConversion"/>
  </si>
  <si>
    <t>이걸 데이터로 모델링하려 했는데, 매우 잘 안 맞는다</t>
    <phoneticPr fontId="1" type="noConversion"/>
  </si>
  <si>
    <t>거의 모든 데이터가 고압 25이하이다. [목표 고압 25]</t>
    <phoneticPr fontId="1" type="noConversion"/>
  </si>
  <si>
    <t xml:space="preserve"> → 실제 압축기 주파수, 목표 저압에 의한 고압과 외기온도와의 편차를 반영할 수 없다, 실외기 팬에 의해 상쇄되므로</t>
    <phoneticPr fontId="1" type="noConversion"/>
  </si>
  <si>
    <t>그래서 엔지니어링 센스에 의한 값을 선택했다</t>
    <phoneticPr fontId="1" type="noConversion"/>
  </si>
  <si>
    <t>고압포화온도 - 실외온도 = (9-저압)*1.5+(운전율*5)+(저압측 ΔT-12)*0.5</t>
    <phoneticPr fontId="1" type="noConversion"/>
  </si>
  <si>
    <t>현장에서는 학습에 의해 계수값들이 보정되어야 한다, 실외온도에 의한 영향도 들어가야 한다</t>
    <phoneticPr fontId="1" type="noConversion"/>
  </si>
  <si>
    <t>상기 계산에 의해 결정된 고압이 25kg/cm2G 이하인 경우는 25로 처리한다</t>
    <phoneticPr fontId="1" type="noConversion"/>
  </si>
  <si>
    <t>2단계 : 1단계에서 예측한 고압을 이용하여 물성치를 이용하여 압축기측 일량(kJ/kg)을 계산한다</t>
    <phoneticPr fontId="1" type="noConversion"/>
  </si>
  <si>
    <r>
      <t xml:space="preserve">3단계 : </t>
    </r>
    <r>
      <rPr>
        <b/>
        <sz val="11"/>
        <color theme="1"/>
        <rFont val="맑은 고딕"/>
        <family val="3"/>
        <charset val="129"/>
        <scheme val="minor"/>
      </rPr>
      <t>압축기측 일량과 운전율</t>
    </r>
    <r>
      <rPr>
        <sz val="11"/>
        <color theme="1"/>
        <rFont val="맑은 고딕"/>
        <family val="2"/>
        <charset val="129"/>
        <scheme val="minor"/>
      </rPr>
      <t>에 대한 1차식 형태로 피팅한다</t>
    </r>
    <phoneticPr fontId="1" type="noConversion"/>
  </si>
  <si>
    <t>모형 요약</t>
  </si>
  <si>
    <t>S</t>
  </si>
  <si>
    <t>R-제곱</t>
  </si>
  <si>
    <t>R-제곱(수정)</t>
  </si>
  <si>
    <t>R-제곱(예측)</t>
  </si>
  <si>
    <t>회귀 방정식</t>
  </si>
  <si>
    <t>전력</t>
  </si>
  <si>
    <t>=</t>
  </si>
  <si>
    <t>-3220 + 3305.5 운전율 + 138.72 압축기일(kJ/kg)</t>
  </si>
  <si>
    <t>온도 예측 모델</t>
    <phoneticPr fontId="1" type="noConversion"/>
  </si>
  <si>
    <t>에너지 예측 모델</t>
    <phoneticPr fontId="1" type="noConversion"/>
  </si>
  <si>
    <t>r^2: 0.4427158066602025</t>
    <phoneticPr fontId="1" type="noConversion"/>
  </si>
  <si>
    <t>r^2: 0.2741983807185374</t>
  </si>
  <si>
    <t>r^2: 0.3556089064442237</t>
  </si>
  <si>
    <t>r^2: 0.24358631724533986</t>
  </si>
  <si>
    <t>→ 검증되지 않았음, 해당 현장의 2022년 7월까지의 데이터는 거의 대부분 25kgf/cm2G로 제어되었음</t>
    <phoneticPr fontId="1" type="noConversion"/>
  </si>
  <si>
    <t>그 이상으로 23년 8월 데이터 기준으로 모델링을 재시도해야 함</t>
    <phoneticPr fontId="1" type="noConversion"/>
  </si>
  <si>
    <t>저압, 흡입온도(과열도 5℃ 가정) → 압축기 흡입 엔탈피, 압축기 흡입 엔트로피 → (등엔트로피 가정) 압축기 토출 엔탈피</t>
    <phoneticPr fontId="1" type="noConversion"/>
  </si>
  <si>
    <t>압축기측 일량 = 압축기 토출 엔탈피 - 압축기 흡입 엔탈피</t>
    <phoneticPr fontId="1" type="noConversion"/>
  </si>
  <si>
    <t>[Unit1 / 3층]</t>
    <phoneticPr fontId="1" type="noConversion"/>
  </si>
  <si>
    <t>[Unit2 / 2층]</t>
    <phoneticPr fontId="1" type="noConversion"/>
  </si>
  <si>
    <t>-2420 + 5795 운전율 + 109.7 압축기일(kJ/kg)</t>
  </si>
  <si>
    <t>초기 벽체온도 : 실외온도의 평균값</t>
    <phoneticPr fontId="1" type="noConversion"/>
  </si>
  <si>
    <t>target = coef_amb*(실외온도-30) + coef_delta*(실내온도 가중평균 - 설정온도 가중평균) + 8</t>
    <phoneticPr fontId="1" type="noConversion"/>
  </si>
  <si>
    <t>23/09/12 수정 사항</t>
    <phoneticPr fontId="1" type="noConversion"/>
  </si>
  <si>
    <r>
      <t>target = coef_amb*(실외온도-30) + coef_delta*(실내온도 가중평균 - 설정온도 가중평균) +</t>
    </r>
    <r>
      <rPr>
        <sz val="11"/>
        <color rgb="FFC00000"/>
        <rFont val="맑은 고딕"/>
        <family val="3"/>
        <charset val="129"/>
        <scheme val="minor"/>
      </rPr>
      <t xml:space="preserve"> offset </t>
    </r>
    <r>
      <rPr>
        <sz val="11"/>
        <color theme="1"/>
        <rFont val="맑은 고딕"/>
        <family val="2"/>
        <charset val="129"/>
        <scheme val="minor"/>
      </rPr>
      <t>+ 8</t>
    </r>
    <phoneticPr fontId="1" type="noConversion"/>
  </si>
  <si>
    <t xml:space="preserve"> -0.3, -0.15, 0.0</t>
    <phoneticPr fontId="1" type="noConversion"/>
  </si>
  <si>
    <r>
      <t xml:space="preserve"> -0.3, </t>
    </r>
    <r>
      <rPr>
        <sz val="11"/>
        <color rgb="FFC00000"/>
        <rFont val="맑은 고딕"/>
        <family val="3"/>
        <charset val="129"/>
        <scheme val="minor"/>
      </rPr>
      <t>-0.1,</t>
    </r>
    <r>
      <rPr>
        <sz val="11"/>
        <rFont val="맑은 고딕"/>
        <family val="3"/>
        <charset val="129"/>
        <scheme val="minor"/>
      </rPr>
      <t xml:space="preserve"> 0.1</t>
    </r>
    <phoneticPr fontId="1" type="noConversion"/>
  </si>
  <si>
    <t>점검 시나리오 개수 조정</t>
    <phoneticPr fontId="1" type="noConversion"/>
  </si>
  <si>
    <t>offset</t>
    <phoneticPr fontId="1" type="noConversion"/>
  </si>
  <si>
    <t xml:space="preserve"> 0, 0.2</t>
    <phoneticPr fontId="1" type="noConversion"/>
  </si>
  <si>
    <t>[장비 자체가 부하 대비, 여유 있는 경우에 대한 Offset이 없다]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</si>
</sst>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_ "/>
  </numFmts>
  <fonts count="15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rgb="FFC00000"/>
      <name val="맑은 고딕"/>
      <family val="2"/>
      <charset val="129"/>
      <scheme val="minor"/>
    </font>
    <font>
      <b/>
      <sz val="11"/>
      <color rgb="FFC0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rgb="FFC00000"/>
      <name val="맑은 고딕"/>
      <family val="3"/>
      <charset val="129"/>
      <scheme val="minor"/>
    </font>
    <font>
      <sz val="13"/>
      <color rgb="FF004D72"/>
      <name val="Segoe UI Semibold"/>
      <family val="2"/>
    </font>
    <font>
      <sz val="10"/>
      <color theme="1"/>
      <name val="Segoe UI"/>
      <family val="2"/>
    </font>
    <font>
      <b/>
      <sz val="14"/>
      <color theme="1"/>
      <name val="맑은 고딕"/>
      <family val="3"/>
      <charset val="129"/>
      <scheme val="minor"/>
    </font>
    <font>
      <i/>
      <sz val="11"/>
      <color theme="1"/>
      <name val="맑은 고딕"/>
      <family val="3"/>
      <charset val="129"/>
      <scheme val="minor"/>
    </font>
    <font>
      <i/>
      <sz val="10"/>
      <color theme="1"/>
      <name val="Var(--jp-code-font-family)"/>
    </font>
    <font>
      <i/>
      <sz val="11"/>
      <color theme="0" tint="-0.499984740745262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FF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>
      <alignment vertical="center"/>
    </xf>
  </cellStyleXfs>
  <cellXfs count="25">
    <xf numFmtId="0" fontId="0" fillId="0" borderId="0" xfId="0">
      <alignment vertical="center"/>
    </xf>
    <xf numFmtId="0" fontId="0" fillId="0" borderId="0" xfId="0" applyAlignment="1">
      <alignment horizontal="left" vertical="center" indent="1"/>
    </xf>
    <xf numFmtId="0" fontId="3" fillId="0" borderId="0" xfId="0" applyFont="1" applyAlignment="1">
      <alignment horizontal="justify"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 indent="1"/>
    </xf>
    <xf numFmtId="0" fontId="6" fillId="0" borderId="0" xfId="0" applyFont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176" fontId="0" fillId="3" borderId="0" xfId="0" applyNumberFormat="1" applyFill="1">
      <alignment vertical="center"/>
    </xf>
    <xf numFmtId="0" fontId="0" fillId="0" borderId="0" xfId="0" applyFill="1">
      <alignment vertical="center"/>
    </xf>
    <xf numFmtId="176" fontId="0" fillId="0" borderId="0" xfId="0" applyNumberFormat="1" applyFill="1">
      <alignment vertical="center"/>
    </xf>
    <xf numFmtId="0" fontId="8" fillId="0" borderId="0" xfId="0" applyFont="1" applyAlignment="1">
      <alignment horizontal="left" vertical="center" indent="1"/>
    </xf>
    <xf numFmtId="0" fontId="9" fillId="4" borderId="1" xfId="0" applyFont="1" applyFill="1" applyBorder="1" applyAlignment="1">
      <alignment horizontal="right"/>
    </xf>
    <xf numFmtId="0" fontId="9" fillId="4" borderId="0" xfId="0" applyFont="1" applyFill="1" applyAlignment="1">
      <alignment horizontal="right" vertical="top"/>
    </xf>
    <xf numFmtId="10" fontId="9" fillId="4" borderId="0" xfId="0" applyNumberFormat="1" applyFont="1" applyFill="1" applyAlignment="1">
      <alignment horizontal="right" vertical="top"/>
    </xf>
    <xf numFmtId="0" fontId="9" fillId="4" borderId="0" xfId="0" applyFont="1" applyFill="1" applyAlignment="1">
      <alignment horizontal="left" vertical="top"/>
    </xf>
    <xf numFmtId="0" fontId="10" fillId="0" borderId="0" xfId="0" applyFont="1">
      <alignment vertical="center"/>
    </xf>
    <xf numFmtId="0" fontId="11" fillId="0" borderId="0" xfId="0" applyFont="1">
      <alignment vertical="center"/>
    </xf>
    <xf numFmtId="0" fontId="12" fillId="0" borderId="0" xfId="0" applyFont="1" applyAlignment="1">
      <alignment horizontal="left" vertical="center"/>
    </xf>
    <xf numFmtId="0" fontId="7" fillId="0" borderId="0" xfId="0" applyFont="1" applyFill="1" applyAlignment="1">
      <alignment horizontal="left" vertical="center" indent="1"/>
    </xf>
    <xf numFmtId="0" fontId="5" fillId="0" borderId="0" xfId="0" applyFont="1">
      <alignment vertical="center"/>
    </xf>
    <xf numFmtId="0" fontId="13" fillId="0" borderId="0" xfId="0" applyFont="1">
      <alignment vertical="center"/>
    </xf>
    <xf numFmtId="0" fontId="14" fillId="0" borderId="0" xfId="0" applyFont="1">
      <alignment vertical="center"/>
    </xf>
    <xf numFmtId="0" fontId="7" fillId="0" borderId="0" xfId="0" applyFon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[1]Modeling_final!$GL$1</c:f>
              <c:strCache>
                <c:ptCount val="1"/>
                <c:pt idx="0">
                  <c:v>소전 예측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[1]Modeling_final!$EO$2:$EO$711</c:f>
              <c:numCache>
                <c:formatCode>General</c:formatCode>
                <c:ptCount val="710"/>
                <c:pt idx="0">
                  <c:v>3450.7666666666601</c:v>
                </c:pt>
                <c:pt idx="1">
                  <c:v>2235.0666666666598</c:v>
                </c:pt>
                <c:pt idx="2">
                  <c:v>1327.3333333333301</c:v>
                </c:pt>
                <c:pt idx="3">
                  <c:v>3686.8333333333298</c:v>
                </c:pt>
                <c:pt idx="4">
                  <c:v>1813.06666666666</c:v>
                </c:pt>
                <c:pt idx="5">
                  <c:v>1833.5333333333299</c:v>
                </c:pt>
                <c:pt idx="6">
                  <c:v>1851.4</c:v>
                </c:pt>
                <c:pt idx="7">
                  <c:v>1775.7</c:v>
                </c:pt>
                <c:pt idx="8">
                  <c:v>3588.8</c:v>
                </c:pt>
                <c:pt idx="9">
                  <c:v>3624.5</c:v>
                </c:pt>
                <c:pt idx="10">
                  <c:v>3303.5666666666598</c:v>
                </c:pt>
                <c:pt idx="11">
                  <c:v>1778.7666666666601</c:v>
                </c:pt>
                <c:pt idx="12">
                  <c:v>4436.5666666666602</c:v>
                </c:pt>
                <c:pt idx="13">
                  <c:v>4091.63333333333</c:v>
                </c:pt>
                <c:pt idx="14">
                  <c:v>3347.86666666666</c:v>
                </c:pt>
                <c:pt idx="15">
                  <c:v>2982.5</c:v>
                </c:pt>
                <c:pt idx="16">
                  <c:v>1880.3333333333301</c:v>
                </c:pt>
                <c:pt idx="17">
                  <c:v>1948.7333333333299</c:v>
                </c:pt>
                <c:pt idx="18">
                  <c:v>1944.43333333333</c:v>
                </c:pt>
                <c:pt idx="19">
                  <c:v>1899.9666666666601</c:v>
                </c:pt>
                <c:pt idx="20">
                  <c:v>1870.8</c:v>
                </c:pt>
                <c:pt idx="21">
                  <c:v>1949.2</c:v>
                </c:pt>
                <c:pt idx="22">
                  <c:v>1933.8</c:v>
                </c:pt>
                <c:pt idx="23">
                  <c:v>1964.7</c:v>
                </c:pt>
                <c:pt idx="24">
                  <c:v>1962.6</c:v>
                </c:pt>
                <c:pt idx="25">
                  <c:v>1967</c:v>
                </c:pt>
                <c:pt idx="26">
                  <c:v>1386.4666666666601</c:v>
                </c:pt>
                <c:pt idx="27">
                  <c:v>1533.7666666666601</c:v>
                </c:pt>
                <c:pt idx="28">
                  <c:v>1386.9666666666601</c:v>
                </c:pt>
                <c:pt idx="29">
                  <c:v>1437.43333333333</c:v>
                </c:pt>
                <c:pt idx="30">
                  <c:v>1463.6</c:v>
                </c:pt>
                <c:pt idx="31">
                  <c:v>1163.3333333333301</c:v>
                </c:pt>
                <c:pt idx="32">
                  <c:v>1060.3</c:v>
                </c:pt>
                <c:pt idx="33">
                  <c:v>1694</c:v>
                </c:pt>
                <c:pt idx="34">
                  <c:v>1727.4666666666601</c:v>
                </c:pt>
                <c:pt idx="35">
                  <c:v>1772.3333333333301</c:v>
                </c:pt>
                <c:pt idx="36">
                  <c:v>1636.1</c:v>
                </c:pt>
                <c:pt idx="37">
                  <c:v>2065.1</c:v>
                </c:pt>
                <c:pt idx="38">
                  <c:v>1758.6</c:v>
                </c:pt>
                <c:pt idx="39">
                  <c:v>1711.63333333333</c:v>
                </c:pt>
                <c:pt idx="40">
                  <c:v>1673.6666666666599</c:v>
                </c:pt>
                <c:pt idx="41">
                  <c:v>1672.6666666666599</c:v>
                </c:pt>
                <c:pt idx="42">
                  <c:v>1785.8</c:v>
                </c:pt>
                <c:pt idx="43">
                  <c:v>1695.93333333333</c:v>
                </c:pt>
                <c:pt idx="44">
                  <c:v>3553.7</c:v>
                </c:pt>
                <c:pt idx="45">
                  <c:v>3398.7333333333299</c:v>
                </c:pt>
                <c:pt idx="46">
                  <c:v>3156.5</c:v>
                </c:pt>
                <c:pt idx="47">
                  <c:v>2114.2666666666601</c:v>
                </c:pt>
                <c:pt idx="48">
                  <c:v>2089.8333333333298</c:v>
                </c:pt>
                <c:pt idx="49">
                  <c:v>1415.1</c:v>
                </c:pt>
                <c:pt idx="50">
                  <c:v>1496.2666666666601</c:v>
                </c:pt>
                <c:pt idx="51">
                  <c:v>1782.4666666666601</c:v>
                </c:pt>
                <c:pt idx="52">
                  <c:v>1867</c:v>
                </c:pt>
                <c:pt idx="53">
                  <c:v>1820.2</c:v>
                </c:pt>
                <c:pt idx="54">
                  <c:v>1735.2</c:v>
                </c:pt>
                <c:pt idx="55">
                  <c:v>1714.36666666666</c:v>
                </c:pt>
                <c:pt idx="56">
                  <c:v>1547.2666666666601</c:v>
                </c:pt>
                <c:pt idx="57">
                  <c:v>1553.4666666666601</c:v>
                </c:pt>
                <c:pt idx="58">
                  <c:v>1508.86666666666</c:v>
                </c:pt>
                <c:pt idx="59">
                  <c:v>1460.6666666666599</c:v>
                </c:pt>
                <c:pt idx="60">
                  <c:v>1554.3333333333301</c:v>
                </c:pt>
                <c:pt idx="61">
                  <c:v>2031</c:v>
                </c:pt>
                <c:pt idx="62">
                  <c:v>2051.6</c:v>
                </c:pt>
                <c:pt idx="63">
                  <c:v>2088</c:v>
                </c:pt>
                <c:pt idx="64">
                  <c:v>2121.6</c:v>
                </c:pt>
                <c:pt idx="65">
                  <c:v>2132.3333333333298</c:v>
                </c:pt>
                <c:pt idx="66">
                  <c:v>2324.9333333333302</c:v>
                </c:pt>
                <c:pt idx="67">
                  <c:v>2104</c:v>
                </c:pt>
                <c:pt idx="68">
                  <c:v>2579.1666666666601</c:v>
                </c:pt>
                <c:pt idx="69">
                  <c:v>3735.4</c:v>
                </c:pt>
                <c:pt idx="70">
                  <c:v>3429.1666666666601</c:v>
                </c:pt>
                <c:pt idx="71">
                  <c:v>3292.1</c:v>
                </c:pt>
                <c:pt idx="72">
                  <c:v>3347.8333333333298</c:v>
                </c:pt>
                <c:pt idx="73">
                  <c:v>3410.4</c:v>
                </c:pt>
                <c:pt idx="74">
                  <c:v>3251</c:v>
                </c:pt>
                <c:pt idx="75">
                  <c:v>3191.3</c:v>
                </c:pt>
                <c:pt idx="76">
                  <c:v>3199.2</c:v>
                </c:pt>
                <c:pt idx="77">
                  <c:v>2914.86666666666</c:v>
                </c:pt>
                <c:pt idx="78">
                  <c:v>3062.5</c:v>
                </c:pt>
                <c:pt idx="79">
                  <c:v>3063.1</c:v>
                </c:pt>
                <c:pt idx="80">
                  <c:v>2918.2333333333299</c:v>
                </c:pt>
                <c:pt idx="81">
                  <c:v>2871.6666666666601</c:v>
                </c:pt>
                <c:pt idx="82">
                  <c:v>2937.4</c:v>
                </c:pt>
                <c:pt idx="83">
                  <c:v>2854.9</c:v>
                </c:pt>
                <c:pt idx="84">
                  <c:v>1842.9666666666601</c:v>
                </c:pt>
                <c:pt idx="85">
                  <c:v>1535.06666666666</c:v>
                </c:pt>
                <c:pt idx="86">
                  <c:v>2046.5333333333299</c:v>
                </c:pt>
                <c:pt idx="87">
                  <c:v>2415.1666666666601</c:v>
                </c:pt>
                <c:pt idx="88">
                  <c:v>2305.4666666666599</c:v>
                </c:pt>
                <c:pt idx="89">
                  <c:v>1168.1666666666599</c:v>
                </c:pt>
                <c:pt idx="90">
                  <c:v>2232.1666666666601</c:v>
                </c:pt>
                <c:pt idx="91">
                  <c:v>2064.6</c:v>
                </c:pt>
                <c:pt idx="92">
                  <c:v>2470.2333333333299</c:v>
                </c:pt>
                <c:pt idx="93">
                  <c:v>2124</c:v>
                </c:pt>
                <c:pt idx="94">
                  <c:v>2113.63333333333</c:v>
                </c:pt>
                <c:pt idx="95">
                  <c:v>2162.13333333333</c:v>
                </c:pt>
                <c:pt idx="96">
                  <c:v>2075.36666666666</c:v>
                </c:pt>
                <c:pt idx="97">
                  <c:v>2207.6999999999998</c:v>
                </c:pt>
                <c:pt idx="98">
                  <c:v>1992.2666666666601</c:v>
                </c:pt>
                <c:pt idx="99">
                  <c:v>1954.7333333333299</c:v>
                </c:pt>
                <c:pt idx="100">
                  <c:v>1935.86666666666</c:v>
                </c:pt>
                <c:pt idx="101">
                  <c:v>1808.1</c:v>
                </c:pt>
                <c:pt idx="102">
                  <c:v>1829.7666666666601</c:v>
                </c:pt>
                <c:pt idx="103">
                  <c:v>1856.93333333333</c:v>
                </c:pt>
                <c:pt idx="104">
                  <c:v>1859.4</c:v>
                </c:pt>
                <c:pt idx="105">
                  <c:v>1765.4666666666601</c:v>
                </c:pt>
                <c:pt idx="106">
                  <c:v>1852.7666666666601</c:v>
                </c:pt>
                <c:pt idx="107">
                  <c:v>1880</c:v>
                </c:pt>
                <c:pt idx="108">
                  <c:v>1845.9666666666601</c:v>
                </c:pt>
                <c:pt idx="109">
                  <c:v>1866.6</c:v>
                </c:pt>
                <c:pt idx="110">
                  <c:v>1880.6</c:v>
                </c:pt>
                <c:pt idx="111">
                  <c:v>1796.5</c:v>
                </c:pt>
                <c:pt idx="112">
                  <c:v>1822.7</c:v>
                </c:pt>
                <c:pt idx="113">
                  <c:v>1895.6</c:v>
                </c:pt>
                <c:pt idx="114">
                  <c:v>1859.5</c:v>
                </c:pt>
                <c:pt idx="115">
                  <c:v>1849.4666666666601</c:v>
                </c:pt>
                <c:pt idx="116">
                  <c:v>1828.2</c:v>
                </c:pt>
                <c:pt idx="117">
                  <c:v>1555.5333333333299</c:v>
                </c:pt>
                <c:pt idx="118">
                  <c:v>1568.4666666666601</c:v>
                </c:pt>
                <c:pt idx="119">
                  <c:v>1598.7</c:v>
                </c:pt>
                <c:pt idx="120">
                  <c:v>4568</c:v>
                </c:pt>
                <c:pt idx="121">
                  <c:v>3961.0333333333301</c:v>
                </c:pt>
                <c:pt idx="122">
                  <c:v>4134.2</c:v>
                </c:pt>
                <c:pt idx="123">
                  <c:v>4384.6000000000004</c:v>
                </c:pt>
                <c:pt idx="124">
                  <c:v>4214.3666666666604</c:v>
                </c:pt>
                <c:pt idx="125">
                  <c:v>4222.6333333333296</c:v>
                </c:pt>
                <c:pt idx="126">
                  <c:v>1787.7</c:v>
                </c:pt>
                <c:pt idx="127">
                  <c:v>1773.4666666666601</c:v>
                </c:pt>
                <c:pt idx="128">
                  <c:v>1705.06666666666</c:v>
                </c:pt>
                <c:pt idx="129">
                  <c:v>1780.13333333333</c:v>
                </c:pt>
                <c:pt idx="130">
                  <c:v>2042.3333333333301</c:v>
                </c:pt>
                <c:pt idx="131">
                  <c:v>1967.8</c:v>
                </c:pt>
                <c:pt idx="132">
                  <c:v>920.93333333333305</c:v>
                </c:pt>
                <c:pt idx="133">
                  <c:v>2384.4</c:v>
                </c:pt>
                <c:pt idx="134">
                  <c:v>1976.8333333333301</c:v>
                </c:pt>
                <c:pt idx="135">
                  <c:v>4094.86666666666</c:v>
                </c:pt>
                <c:pt idx="136">
                  <c:v>3647.7</c:v>
                </c:pt>
                <c:pt idx="137">
                  <c:v>1960.63333333333</c:v>
                </c:pt>
                <c:pt idx="138">
                  <c:v>2112.7333333333299</c:v>
                </c:pt>
                <c:pt idx="139">
                  <c:v>2064.8333333333298</c:v>
                </c:pt>
                <c:pt idx="140">
                  <c:v>2014.86666666666</c:v>
                </c:pt>
                <c:pt idx="141">
                  <c:v>2962.9333333333302</c:v>
                </c:pt>
                <c:pt idx="142">
                  <c:v>1679</c:v>
                </c:pt>
                <c:pt idx="143">
                  <c:v>1661.6666666666599</c:v>
                </c:pt>
                <c:pt idx="144">
                  <c:v>1860.4</c:v>
                </c:pt>
                <c:pt idx="145">
                  <c:v>2003.8333333333301</c:v>
                </c:pt>
                <c:pt idx="146">
                  <c:v>1398.7333333333299</c:v>
                </c:pt>
                <c:pt idx="147">
                  <c:v>1606.93333333333</c:v>
                </c:pt>
                <c:pt idx="148">
                  <c:v>2659.4333333333302</c:v>
                </c:pt>
                <c:pt idx="149">
                  <c:v>1650.8</c:v>
                </c:pt>
                <c:pt idx="150">
                  <c:v>1762.6</c:v>
                </c:pt>
                <c:pt idx="151">
                  <c:v>2007.43333333333</c:v>
                </c:pt>
                <c:pt idx="152">
                  <c:v>1717.1666666666599</c:v>
                </c:pt>
                <c:pt idx="153">
                  <c:v>1571.4</c:v>
                </c:pt>
                <c:pt idx="154">
                  <c:v>1396.7</c:v>
                </c:pt>
                <c:pt idx="155">
                  <c:v>4315.0666666666602</c:v>
                </c:pt>
                <c:pt idx="156">
                  <c:v>3601.63333333333</c:v>
                </c:pt>
                <c:pt idx="157">
                  <c:v>4224.2</c:v>
                </c:pt>
                <c:pt idx="158">
                  <c:v>4142.5333333333301</c:v>
                </c:pt>
                <c:pt idx="159">
                  <c:v>4210.8333333333303</c:v>
                </c:pt>
                <c:pt idx="160">
                  <c:v>4019.4</c:v>
                </c:pt>
                <c:pt idx="161">
                  <c:v>3436.9333333333302</c:v>
                </c:pt>
                <c:pt idx="162">
                  <c:v>3500.2333333333299</c:v>
                </c:pt>
                <c:pt idx="163">
                  <c:v>3546.4333333333302</c:v>
                </c:pt>
                <c:pt idx="164">
                  <c:v>2741.5333333333301</c:v>
                </c:pt>
                <c:pt idx="165">
                  <c:v>3084.1666666666601</c:v>
                </c:pt>
                <c:pt idx="166">
                  <c:v>3114.5666666666598</c:v>
                </c:pt>
                <c:pt idx="167">
                  <c:v>2915</c:v>
                </c:pt>
                <c:pt idx="168">
                  <c:v>2907.6</c:v>
                </c:pt>
                <c:pt idx="169">
                  <c:v>2860.2</c:v>
                </c:pt>
                <c:pt idx="170">
                  <c:v>2800.7</c:v>
                </c:pt>
                <c:pt idx="171">
                  <c:v>2775.4</c:v>
                </c:pt>
                <c:pt idx="172">
                  <c:v>3039.0333333333301</c:v>
                </c:pt>
                <c:pt idx="173">
                  <c:v>1795.06666666666</c:v>
                </c:pt>
                <c:pt idx="174">
                  <c:v>4233.6000000000004</c:v>
                </c:pt>
                <c:pt idx="175">
                  <c:v>4040.9</c:v>
                </c:pt>
                <c:pt idx="176">
                  <c:v>5064.3</c:v>
                </c:pt>
                <c:pt idx="177">
                  <c:v>4583.3333333333303</c:v>
                </c:pt>
                <c:pt idx="178">
                  <c:v>4977.7</c:v>
                </c:pt>
                <c:pt idx="179">
                  <c:v>4483.6333333333296</c:v>
                </c:pt>
                <c:pt idx="180">
                  <c:v>4479.3999999999996</c:v>
                </c:pt>
                <c:pt idx="181">
                  <c:v>4210.2666666666601</c:v>
                </c:pt>
                <c:pt idx="182">
                  <c:v>4115.2666666666601</c:v>
                </c:pt>
                <c:pt idx="183">
                  <c:v>4084.63333333333</c:v>
                </c:pt>
                <c:pt idx="184">
                  <c:v>3912.2</c:v>
                </c:pt>
                <c:pt idx="185">
                  <c:v>4020.6666666666601</c:v>
                </c:pt>
                <c:pt idx="186">
                  <c:v>4226.3333333333303</c:v>
                </c:pt>
                <c:pt idx="187">
                  <c:v>4357.9666666666599</c:v>
                </c:pt>
                <c:pt idx="188">
                  <c:v>4419.2</c:v>
                </c:pt>
                <c:pt idx="189">
                  <c:v>4530.4666666666599</c:v>
                </c:pt>
                <c:pt idx="190">
                  <c:v>4315.8</c:v>
                </c:pt>
                <c:pt idx="191">
                  <c:v>4432.8</c:v>
                </c:pt>
                <c:pt idx="192">
                  <c:v>4174.0666666666602</c:v>
                </c:pt>
                <c:pt idx="193">
                  <c:v>4457.5333333333301</c:v>
                </c:pt>
                <c:pt idx="194">
                  <c:v>4204.6333333333296</c:v>
                </c:pt>
                <c:pt idx="195">
                  <c:v>4282.8333333333303</c:v>
                </c:pt>
                <c:pt idx="196">
                  <c:v>4276.1333333333296</c:v>
                </c:pt>
                <c:pt idx="197">
                  <c:v>2982.7</c:v>
                </c:pt>
                <c:pt idx="198">
                  <c:v>2006.5333333333299</c:v>
                </c:pt>
                <c:pt idx="199">
                  <c:v>1990.9</c:v>
                </c:pt>
                <c:pt idx="200">
                  <c:v>1916.6</c:v>
                </c:pt>
                <c:pt idx="201">
                  <c:v>1812.93333333333</c:v>
                </c:pt>
                <c:pt idx="202">
                  <c:v>1746.7333333333299</c:v>
                </c:pt>
                <c:pt idx="203">
                  <c:v>2154.9</c:v>
                </c:pt>
                <c:pt idx="204">
                  <c:v>2071.6999999999998</c:v>
                </c:pt>
                <c:pt idx="205">
                  <c:v>2431.63333333333</c:v>
                </c:pt>
                <c:pt idx="206">
                  <c:v>2669.4</c:v>
                </c:pt>
                <c:pt idx="207">
                  <c:v>2709.86666666666</c:v>
                </c:pt>
                <c:pt idx="208">
                  <c:v>2301.2333333333299</c:v>
                </c:pt>
                <c:pt idx="209">
                  <c:v>2102.3333333333298</c:v>
                </c:pt>
                <c:pt idx="210">
                  <c:v>1920</c:v>
                </c:pt>
                <c:pt idx="211">
                  <c:v>2006.2333333333299</c:v>
                </c:pt>
                <c:pt idx="212">
                  <c:v>2126.3333333333298</c:v>
                </c:pt>
                <c:pt idx="213">
                  <c:v>2147.8000000000002</c:v>
                </c:pt>
                <c:pt idx="214">
                  <c:v>2298.6999999999998</c:v>
                </c:pt>
                <c:pt idx="215">
                  <c:v>2095.9666666666599</c:v>
                </c:pt>
                <c:pt idx="216">
                  <c:v>2270.6666666666601</c:v>
                </c:pt>
                <c:pt idx="217">
                  <c:v>2278</c:v>
                </c:pt>
                <c:pt idx="218">
                  <c:v>4157.1333333333296</c:v>
                </c:pt>
                <c:pt idx="219">
                  <c:v>4247.3333333333303</c:v>
                </c:pt>
                <c:pt idx="220">
                  <c:v>4603.8</c:v>
                </c:pt>
                <c:pt idx="221">
                  <c:v>4130.8666666666604</c:v>
                </c:pt>
                <c:pt idx="222">
                  <c:v>2115.6666666666601</c:v>
                </c:pt>
                <c:pt idx="223">
                  <c:v>3244.6</c:v>
                </c:pt>
                <c:pt idx="224">
                  <c:v>2078.6</c:v>
                </c:pt>
                <c:pt idx="225">
                  <c:v>2997.4</c:v>
                </c:pt>
                <c:pt idx="226">
                  <c:v>2963.5333333333301</c:v>
                </c:pt>
                <c:pt idx="227">
                  <c:v>3157.0333333333301</c:v>
                </c:pt>
                <c:pt idx="228">
                  <c:v>2617</c:v>
                </c:pt>
                <c:pt idx="229">
                  <c:v>2320.2333333333299</c:v>
                </c:pt>
                <c:pt idx="230">
                  <c:v>2698.86666666666</c:v>
                </c:pt>
                <c:pt idx="231">
                  <c:v>1592.6666666666599</c:v>
                </c:pt>
                <c:pt idx="232">
                  <c:v>1583.8333333333301</c:v>
                </c:pt>
                <c:pt idx="233">
                  <c:v>1747.5</c:v>
                </c:pt>
                <c:pt idx="234">
                  <c:v>2792.6666666666601</c:v>
                </c:pt>
                <c:pt idx="235">
                  <c:v>1498.6</c:v>
                </c:pt>
                <c:pt idx="236">
                  <c:v>1828.06666666666</c:v>
                </c:pt>
                <c:pt idx="237">
                  <c:v>876.3</c:v>
                </c:pt>
                <c:pt idx="238">
                  <c:v>4220.8333333333303</c:v>
                </c:pt>
                <c:pt idx="239">
                  <c:v>4402.8999999999996</c:v>
                </c:pt>
                <c:pt idx="240">
                  <c:v>4407.8</c:v>
                </c:pt>
                <c:pt idx="241">
                  <c:v>4102.3999999999996</c:v>
                </c:pt>
                <c:pt idx="242">
                  <c:v>4174.6000000000004</c:v>
                </c:pt>
                <c:pt idx="243">
                  <c:v>2449.0666666666598</c:v>
                </c:pt>
                <c:pt idx="244">
                  <c:v>2382.3000000000002</c:v>
                </c:pt>
                <c:pt idx="245">
                  <c:v>2382</c:v>
                </c:pt>
                <c:pt idx="246">
                  <c:v>2454.6999999999998</c:v>
                </c:pt>
                <c:pt idx="247">
                  <c:v>2121.6666666666601</c:v>
                </c:pt>
                <c:pt idx="248">
                  <c:v>2202.5</c:v>
                </c:pt>
                <c:pt idx="249">
                  <c:v>2803.1666666666601</c:v>
                </c:pt>
                <c:pt idx="250">
                  <c:v>3708.4</c:v>
                </c:pt>
                <c:pt idx="251">
                  <c:v>3009</c:v>
                </c:pt>
                <c:pt idx="252">
                  <c:v>2519.9333333333302</c:v>
                </c:pt>
                <c:pt idx="253">
                  <c:v>1411.0333333333299</c:v>
                </c:pt>
                <c:pt idx="254">
                  <c:v>1376.6</c:v>
                </c:pt>
                <c:pt idx="255">
                  <c:v>1391.0333333333299</c:v>
                </c:pt>
                <c:pt idx="256">
                  <c:v>1365.5</c:v>
                </c:pt>
                <c:pt idx="257">
                  <c:v>3960.3333333333298</c:v>
                </c:pt>
                <c:pt idx="258">
                  <c:v>3994.4666666666599</c:v>
                </c:pt>
                <c:pt idx="259">
                  <c:v>2128.2666666666601</c:v>
                </c:pt>
                <c:pt idx="260">
                  <c:v>3146.0666666666598</c:v>
                </c:pt>
                <c:pt idx="261">
                  <c:v>2081.5333333333301</c:v>
                </c:pt>
                <c:pt idx="262">
                  <c:v>2122.6666666666601</c:v>
                </c:pt>
                <c:pt idx="263">
                  <c:v>2274.0666666666598</c:v>
                </c:pt>
                <c:pt idx="264">
                  <c:v>2197.3000000000002</c:v>
                </c:pt>
                <c:pt idx="265">
                  <c:v>2709.4</c:v>
                </c:pt>
                <c:pt idx="266">
                  <c:v>2891.4</c:v>
                </c:pt>
                <c:pt idx="267">
                  <c:v>2320.3000000000002</c:v>
                </c:pt>
                <c:pt idx="268">
                  <c:v>2437.6999999999998</c:v>
                </c:pt>
                <c:pt idx="269">
                  <c:v>4298.5666666666602</c:v>
                </c:pt>
                <c:pt idx="270">
                  <c:v>4164.6000000000004</c:v>
                </c:pt>
                <c:pt idx="271">
                  <c:v>4235.8</c:v>
                </c:pt>
                <c:pt idx="272">
                  <c:v>4246</c:v>
                </c:pt>
                <c:pt idx="273">
                  <c:v>4276.7</c:v>
                </c:pt>
                <c:pt idx="274">
                  <c:v>4269</c:v>
                </c:pt>
                <c:pt idx="275">
                  <c:v>4619</c:v>
                </c:pt>
                <c:pt idx="276">
                  <c:v>4145.1666666666597</c:v>
                </c:pt>
                <c:pt idx="277">
                  <c:v>3487.36666666666</c:v>
                </c:pt>
                <c:pt idx="278">
                  <c:v>3389.7666666666601</c:v>
                </c:pt>
                <c:pt idx="279">
                  <c:v>3486.86666666666</c:v>
                </c:pt>
                <c:pt idx="280">
                  <c:v>3470.2666666666601</c:v>
                </c:pt>
                <c:pt idx="281">
                  <c:v>3525.1666666666601</c:v>
                </c:pt>
                <c:pt idx="282">
                  <c:v>3590.7</c:v>
                </c:pt>
                <c:pt idx="283">
                  <c:v>3831.3333333333298</c:v>
                </c:pt>
                <c:pt idx="284">
                  <c:v>3397.0666666666598</c:v>
                </c:pt>
                <c:pt idx="285">
                  <c:v>3458.9</c:v>
                </c:pt>
                <c:pt idx="286">
                  <c:v>2736.1666666666601</c:v>
                </c:pt>
                <c:pt idx="287">
                  <c:v>3225.5666666666598</c:v>
                </c:pt>
                <c:pt idx="288">
                  <c:v>2538.7333333333299</c:v>
                </c:pt>
                <c:pt idx="289">
                  <c:v>2144.5666666666598</c:v>
                </c:pt>
                <c:pt idx="290">
                  <c:v>2135.5666666666598</c:v>
                </c:pt>
                <c:pt idx="291">
                  <c:v>2070.0666666666598</c:v>
                </c:pt>
                <c:pt idx="292">
                  <c:v>5205.8333333333303</c:v>
                </c:pt>
                <c:pt idx="293">
                  <c:v>4061.4</c:v>
                </c:pt>
                <c:pt idx="294">
                  <c:v>4011.5666666666598</c:v>
                </c:pt>
                <c:pt idx="295">
                  <c:v>3760.0333333333301</c:v>
                </c:pt>
                <c:pt idx="296">
                  <c:v>3614.7333333333299</c:v>
                </c:pt>
                <c:pt idx="297">
                  <c:v>3203.4</c:v>
                </c:pt>
                <c:pt idx="298">
                  <c:v>3187.2333333333299</c:v>
                </c:pt>
                <c:pt idx="299">
                  <c:v>2950.4</c:v>
                </c:pt>
                <c:pt idx="300">
                  <c:v>2885.7666666666601</c:v>
                </c:pt>
                <c:pt idx="301">
                  <c:v>3125.86666666666</c:v>
                </c:pt>
                <c:pt idx="302">
                  <c:v>3020.8333333333298</c:v>
                </c:pt>
                <c:pt idx="303">
                  <c:v>3123.13333333333</c:v>
                </c:pt>
                <c:pt idx="304">
                  <c:v>2054.1999999999998</c:v>
                </c:pt>
                <c:pt idx="305">
                  <c:v>2133.6666666666601</c:v>
                </c:pt>
                <c:pt idx="306">
                  <c:v>2170.3333333333298</c:v>
                </c:pt>
                <c:pt idx="307">
                  <c:v>2190.8000000000002</c:v>
                </c:pt>
                <c:pt idx="308">
                  <c:v>2336.3000000000002</c:v>
                </c:pt>
                <c:pt idx="309">
                  <c:v>2214.4666666666599</c:v>
                </c:pt>
                <c:pt idx="310">
                  <c:v>2117.9666666666599</c:v>
                </c:pt>
                <c:pt idx="311">
                  <c:v>2118.6999999999998</c:v>
                </c:pt>
                <c:pt idx="312">
                  <c:v>2170.63333333333</c:v>
                </c:pt>
                <c:pt idx="313">
                  <c:v>2125.5666666666598</c:v>
                </c:pt>
                <c:pt idx="314">
                  <c:v>2194.9</c:v>
                </c:pt>
                <c:pt idx="315">
                  <c:v>2093.8333333333298</c:v>
                </c:pt>
                <c:pt idx="316">
                  <c:v>2171.6999999999998</c:v>
                </c:pt>
                <c:pt idx="317">
                  <c:v>2165.7666666666601</c:v>
                </c:pt>
                <c:pt idx="318">
                  <c:v>2132.1</c:v>
                </c:pt>
                <c:pt idx="319">
                  <c:v>2188.8333333333298</c:v>
                </c:pt>
                <c:pt idx="320">
                  <c:v>2138.8000000000002</c:v>
                </c:pt>
                <c:pt idx="321">
                  <c:v>2183.8333333333298</c:v>
                </c:pt>
                <c:pt idx="322">
                  <c:v>2133.2666666666601</c:v>
                </c:pt>
                <c:pt idx="323">
                  <c:v>2427.1666666666601</c:v>
                </c:pt>
                <c:pt idx="324">
                  <c:v>2096.36666666666</c:v>
                </c:pt>
                <c:pt idx="325">
                  <c:v>2181.3000000000002</c:v>
                </c:pt>
                <c:pt idx="326">
                  <c:v>2143.2333333333299</c:v>
                </c:pt>
                <c:pt idx="327">
                  <c:v>2152.8333333333298</c:v>
                </c:pt>
                <c:pt idx="328">
                  <c:v>2163.63333333333</c:v>
                </c:pt>
                <c:pt idx="329">
                  <c:v>2125.6999999999998</c:v>
                </c:pt>
                <c:pt idx="330">
                  <c:v>2194</c:v>
                </c:pt>
                <c:pt idx="331">
                  <c:v>2148.7333333333299</c:v>
                </c:pt>
                <c:pt idx="332">
                  <c:v>2166</c:v>
                </c:pt>
                <c:pt idx="333">
                  <c:v>2113.3333333333298</c:v>
                </c:pt>
                <c:pt idx="334">
                  <c:v>2129.4</c:v>
                </c:pt>
                <c:pt idx="335">
                  <c:v>2113.7666666666601</c:v>
                </c:pt>
                <c:pt idx="336">
                  <c:v>2112.36666666666</c:v>
                </c:pt>
                <c:pt idx="337">
                  <c:v>2114.5</c:v>
                </c:pt>
                <c:pt idx="338">
                  <c:v>2109.7666666666601</c:v>
                </c:pt>
                <c:pt idx="339">
                  <c:v>2243.63333333333</c:v>
                </c:pt>
                <c:pt idx="340">
                  <c:v>2315.6666666666601</c:v>
                </c:pt>
                <c:pt idx="341">
                  <c:v>2100</c:v>
                </c:pt>
                <c:pt idx="342">
                  <c:v>2195.13333333333</c:v>
                </c:pt>
                <c:pt idx="343">
                  <c:v>2205.4666666666599</c:v>
                </c:pt>
                <c:pt idx="344">
                  <c:v>2302.1666666666601</c:v>
                </c:pt>
                <c:pt idx="345">
                  <c:v>2139.5</c:v>
                </c:pt>
                <c:pt idx="346">
                  <c:v>2134.6666666666601</c:v>
                </c:pt>
                <c:pt idx="347">
                  <c:v>2166.5333333333301</c:v>
                </c:pt>
                <c:pt idx="348">
                  <c:v>4343.4666666666599</c:v>
                </c:pt>
                <c:pt idx="349">
                  <c:v>3860</c:v>
                </c:pt>
                <c:pt idx="350">
                  <c:v>4165.3</c:v>
                </c:pt>
                <c:pt idx="351">
                  <c:v>4307.3999999999996</c:v>
                </c:pt>
                <c:pt idx="352">
                  <c:v>4225.2</c:v>
                </c:pt>
                <c:pt idx="353">
                  <c:v>3365.13333333333</c:v>
                </c:pt>
                <c:pt idx="354">
                  <c:v>3398.4333333333302</c:v>
                </c:pt>
                <c:pt idx="355">
                  <c:v>3415.5</c:v>
                </c:pt>
                <c:pt idx="356">
                  <c:v>3318.7</c:v>
                </c:pt>
                <c:pt idx="357">
                  <c:v>3409.5333333333301</c:v>
                </c:pt>
                <c:pt idx="358">
                  <c:v>3684.7666666666601</c:v>
                </c:pt>
                <c:pt idx="359">
                  <c:v>3544.7</c:v>
                </c:pt>
                <c:pt idx="360">
                  <c:v>1530.2</c:v>
                </c:pt>
                <c:pt idx="361">
                  <c:v>1595</c:v>
                </c:pt>
                <c:pt idx="362">
                  <c:v>1594.06666666666</c:v>
                </c:pt>
                <c:pt idx="363">
                  <c:v>4303.3999999999996</c:v>
                </c:pt>
                <c:pt idx="364">
                  <c:v>4218.7666666666601</c:v>
                </c:pt>
                <c:pt idx="365">
                  <c:v>3747.3</c:v>
                </c:pt>
                <c:pt idx="366">
                  <c:v>3440.4666666666599</c:v>
                </c:pt>
                <c:pt idx="367">
                  <c:v>2976.2666666666601</c:v>
                </c:pt>
                <c:pt idx="368">
                  <c:v>3192.36666666666</c:v>
                </c:pt>
                <c:pt idx="369">
                  <c:v>3068.1</c:v>
                </c:pt>
                <c:pt idx="370">
                  <c:v>3030.2</c:v>
                </c:pt>
                <c:pt idx="371">
                  <c:v>1845.06666666666</c:v>
                </c:pt>
                <c:pt idx="372">
                  <c:v>2141.0666666666598</c:v>
                </c:pt>
                <c:pt idx="373">
                  <c:v>2115</c:v>
                </c:pt>
                <c:pt idx="374">
                  <c:v>2179.9</c:v>
                </c:pt>
                <c:pt idx="375">
                  <c:v>2172.5333333333301</c:v>
                </c:pt>
                <c:pt idx="376">
                  <c:v>2106.9</c:v>
                </c:pt>
                <c:pt idx="377">
                  <c:v>2121.9333333333302</c:v>
                </c:pt>
                <c:pt idx="378">
                  <c:v>2819.0666666666598</c:v>
                </c:pt>
                <c:pt idx="379">
                  <c:v>3026.6666666666601</c:v>
                </c:pt>
                <c:pt idx="380">
                  <c:v>3209.8</c:v>
                </c:pt>
                <c:pt idx="381">
                  <c:v>2409.6666666666601</c:v>
                </c:pt>
                <c:pt idx="382">
                  <c:v>2808.5</c:v>
                </c:pt>
                <c:pt idx="383">
                  <c:v>2330.1999999999998</c:v>
                </c:pt>
                <c:pt idx="384">
                  <c:v>2259.5</c:v>
                </c:pt>
                <c:pt idx="385">
                  <c:v>2209.86666666666</c:v>
                </c:pt>
                <c:pt idx="386">
                  <c:v>2163.7333333333299</c:v>
                </c:pt>
                <c:pt idx="387">
                  <c:v>1394.7666666666601</c:v>
                </c:pt>
                <c:pt idx="388">
                  <c:v>1688.3</c:v>
                </c:pt>
                <c:pt idx="389">
                  <c:v>1727.06666666666</c:v>
                </c:pt>
                <c:pt idx="390">
                  <c:v>1630.5333333333299</c:v>
                </c:pt>
                <c:pt idx="391">
                  <c:v>5073.6000000000004</c:v>
                </c:pt>
                <c:pt idx="392">
                  <c:v>4488.6000000000004</c:v>
                </c:pt>
                <c:pt idx="393">
                  <c:v>4427.5</c:v>
                </c:pt>
                <c:pt idx="394">
                  <c:v>4190.2</c:v>
                </c:pt>
                <c:pt idx="395">
                  <c:v>4590.3666666666604</c:v>
                </c:pt>
                <c:pt idx="396">
                  <c:v>4331.6000000000004</c:v>
                </c:pt>
                <c:pt idx="397">
                  <c:v>4618.2666666666601</c:v>
                </c:pt>
                <c:pt idx="398">
                  <c:v>3401.3</c:v>
                </c:pt>
                <c:pt idx="399">
                  <c:v>2533.4666666666599</c:v>
                </c:pt>
                <c:pt idx="400">
                  <c:v>2300.1</c:v>
                </c:pt>
                <c:pt idx="401">
                  <c:v>2101.5333333333301</c:v>
                </c:pt>
                <c:pt idx="402">
                  <c:v>2084.7666666666601</c:v>
                </c:pt>
                <c:pt idx="403">
                  <c:v>2112.6666666666601</c:v>
                </c:pt>
                <c:pt idx="404">
                  <c:v>1434</c:v>
                </c:pt>
                <c:pt idx="405">
                  <c:v>1459.7</c:v>
                </c:pt>
                <c:pt idx="406">
                  <c:v>4167.5</c:v>
                </c:pt>
                <c:pt idx="407">
                  <c:v>3639.3333333333298</c:v>
                </c:pt>
                <c:pt idx="408">
                  <c:v>3342.1666666666601</c:v>
                </c:pt>
                <c:pt idx="409">
                  <c:v>2779.9666666666599</c:v>
                </c:pt>
                <c:pt idx="410">
                  <c:v>3320.4333333333302</c:v>
                </c:pt>
                <c:pt idx="411">
                  <c:v>2924.86666666666</c:v>
                </c:pt>
                <c:pt idx="412">
                  <c:v>3028.4</c:v>
                </c:pt>
                <c:pt idx="413">
                  <c:v>2897.3333333333298</c:v>
                </c:pt>
                <c:pt idx="414">
                  <c:v>2981.86666666666</c:v>
                </c:pt>
                <c:pt idx="415">
                  <c:v>3049.0333333333301</c:v>
                </c:pt>
                <c:pt idx="416">
                  <c:v>3169.5</c:v>
                </c:pt>
                <c:pt idx="417">
                  <c:v>2930.4</c:v>
                </c:pt>
                <c:pt idx="418">
                  <c:v>3147</c:v>
                </c:pt>
                <c:pt idx="419">
                  <c:v>1605.8333333333301</c:v>
                </c:pt>
                <c:pt idx="420">
                  <c:v>1807.93333333333</c:v>
                </c:pt>
                <c:pt idx="421">
                  <c:v>4843.3666666666604</c:v>
                </c:pt>
                <c:pt idx="422">
                  <c:v>4127.6000000000004</c:v>
                </c:pt>
                <c:pt idx="423">
                  <c:v>4109.0666666666602</c:v>
                </c:pt>
                <c:pt idx="424">
                  <c:v>4142.3</c:v>
                </c:pt>
                <c:pt idx="425">
                  <c:v>3584.13333333333</c:v>
                </c:pt>
                <c:pt idx="426">
                  <c:v>4189.8333333333303</c:v>
                </c:pt>
                <c:pt idx="427">
                  <c:v>4189.7333333333299</c:v>
                </c:pt>
                <c:pt idx="428">
                  <c:v>4084.6666666666601</c:v>
                </c:pt>
                <c:pt idx="429">
                  <c:v>4238.2666666666601</c:v>
                </c:pt>
                <c:pt idx="430">
                  <c:v>5251.1</c:v>
                </c:pt>
                <c:pt idx="431">
                  <c:v>4443.1666666666597</c:v>
                </c:pt>
                <c:pt idx="432">
                  <c:v>3819.0666666666598</c:v>
                </c:pt>
                <c:pt idx="433">
                  <c:v>4038.2</c:v>
                </c:pt>
                <c:pt idx="434">
                  <c:v>4225.3333333333303</c:v>
                </c:pt>
                <c:pt idx="435">
                  <c:v>4094.6</c:v>
                </c:pt>
                <c:pt idx="436">
                  <c:v>4105.8</c:v>
                </c:pt>
                <c:pt idx="437">
                  <c:v>4109.9666666666599</c:v>
                </c:pt>
                <c:pt idx="438">
                  <c:v>4323.0333333333301</c:v>
                </c:pt>
                <c:pt idx="439">
                  <c:v>2161.9666666666599</c:v>
                </c:pt>
                <c:pt idx="440">
                  <c:v>4111.5</c:v>
                </c:pt>
                <c:pt idx="441">
                  <c:v>3421.13333333333</c:v>
                </c:pt>
                <c:pt idx="442">
                  <c:v>3365.1666666666601</c:v>
                </c:pt>
                <c:pt idx="443">
                  <c:v>3256.4</c:v>
                </c:pt>
                <c:pt idx="444">
                  <c:v>3051.5</c:v>
                </c:pt>
                <c:pt idx="445">
                  <c:v>2654.5</c:v>
                </c:pt>
                <c:pt idx="446">
                  <c:v>2699.0333333333301</c:v>
                </c:pt>
                <c:pt idx="447">
                  <c:v>2721.7333333333299</c:v>
                </c:pt>
                <c:pt idx="448">
                  <c:v>2798.7666666666601</c:v>
                </c:pt>
                <c:pt idx="449">
                  <c:v>2764.5666666666598</c:v>
                </c:pt>
                <c:pt idx="450">
                  <c:v>2899.3</c:v>
                </c:pt>
                <c:pt idx="451">
                  <c:v>2727.7</c:v>
                </c:pt>
                <c:pt idx="452">
                  <c:v>2914.5</c:v>
                </c:pt>
                <c:pt idx="453">
                  <c:v>2687.8</c:v>
                </c:pt>
                <c:pt idx="454">
                  <c:v>2887.8</c:v>
                </c:pt>
                <c:pt idx="455">
                  <c:v>2719.36666666666</c:v>
                </c:pt>
                <c:pt idx="456">
                  <c:v>2997.1666666666601</c:v>
                </c:pt>
                <c:pt idx="457">
                  <c:v>2699.9666666666599</c:v>
                </c:pt>
                <c:pt idx="458">
                  <c:v>2940.4333333333302</c:v>
                </c:pt>
                <c:pt idx="459">
                  <c:v>2878.8333333333298</c:v>
                </c:pt>
                <c:pt idx="460">
                  <c:v>2772.36666666666</c:v>
                </c:pt>
                <c:pt idx="461">
                  <c:v>2928.13333333333</c:v>
                </c:pt>
                <c:pt idx="462">
                  <c:v>2998.7666666666601</c:v>
                </c:pt>
                <c:pt idx="463">
                  <c:v>3107.6</c:v>
                </c:pt>
                <c:pt idx="464">
                  <c:v>3055.9</c:v>
                </c:pt>
                <c:pt idx="465">
                  <c:v>3008.1</c:v>
                </c:pt>
                <c:pt idx="466">
                  <c:v>2852.2666666666601</c:v>
                </c:pt>
                <c:pt idx="467">
                  <c:v>2980.4</c:v>
                </c:pt>
                <c:pt idx="468">
                  <c:v>1332.1</c:v>
                </c:pt>
                <c:pt idx="469">
                  <c:v>1503.7</c:v>
                </c:pt>
                <c:pt idx="470">
                  <c:v>4785.7333333333299</c:v>
                </c:pt>
                <c:pt idx="471">
                  <c:v>1924.4666666666601</c:v>
                </c:pt>
                <c:pt idx="472">
                  <c:v>2088.4</c:v>
                </c:pt>
                <c:pt idx="473">
                  <c:v>2142.3000000000002</c:v>
                </c:pt>
                <c:pt idx="474">
                  <c:v>4078.2333333333299</c:v>
                </c:pt>
                <c:pt idx="475">
                  <c:v>4087.2666666666601</c:v>
                </c:pt>
                <c:pt idx="476">
                  <c:v>3712.1666666666601</c:v>
                </c:pt>
                <c:pt idx="477">
                  <c:v>3588.4666666666599</c:v>
                </c:pt>
                <c:pt idx="478">
                  <c:v>3045.4666666666599</c:v>
                </c:pt>
                <c:pt idx="479">
                  <c:v>3027.3</c:v>
                </c:pt>
                <c:pt idx="480">
                  <c:v>2972.8333333333298</c:v>
                </c:pt>
                <c:pt idx="481">
                  <c:v>2987.2</c:v>
                </c:pt>
                <c:pt idx="482">
                  <c:v>3188.0333333333301</c:v>
                </c:pt>
                <c:pt idx="483">
                  <c:v>1900.3333333333301</c:v>
                </c:pt>
                <c:pt idx="484">
                  <c:v>1541.3333333333301</c:v>
                </c:pt>
                <c:pt idx="485">
                  <c:v>1115.0333333333299</c:v>
                </c:pt>
                <c:pt idx="486">
                  <c:v>1331.56666666666</c:v>
                </c:pt>
                <c:pt idx="487">
                  <c:v>1752.13333333333</c:v>
                </c:pt>
                <c:pt idx="488">
                  <c:v>1733.6</c:v>
                </c:pt>
                <c:pt idx="489">
                  <c:v>1486.63333333333</c:v>
                </c:pt>
                <c:pt idx="490">
                  <c:v>1437.1666666666599</c:v>
                </c:pt>
                <c:pt idx="491">
                  <c:v>1367.6666666666599</c:v>
                </c:pt>
                <c:pt idx="492">
                  <c:v>1354.8333333333301</c:v>
                </c:pt>
                <c:pt idx="493">
                  <c:v>1246.3</c:v>
                </c:pt>
                <c:pt idx="494">
                  <c:v>1466.1</c:v>
                </c:pt>
                <c:pt idx="495">
                  <c:v>1610</c:v>
                </c:pt>
                <c:pt idx="496">
                  <c:v>1755.7333333333299</c:v>
                </c:pt>
                <c:pt idx="497">
                  <c:v>1710.13333333333</c:v>
                </c:pt>
                <c:pt idx="498">
                  <c:v>4483.8666666666604</c:v>
                </c:pt>
                <c:pt idx="499">
                  <c:v>4105.2</c:v>
                </c:pt>
                <c:pt idx="500">
                  <c:v>4374.9333333333298</c:v>
                </c:pt>
                <c:pt idx="501">
                  <c:v>4369.0333333333301</c:v>
                </c:pt>
                <c:pt idx="502">
                  <c:v>4527.5333333333301</c:v>
                </c:pt>
                <c:pt idx="503">
                  <c:v>4745.5333333333301</c:v>
                </c:pt>
                <c:pt idx="504">
                  <c:v>4256.4333333333298</c:v>
                </c:pt>
                <c:pt idx="505">
                  <c:v>4191.9333333333298</c:v>
                </c:pt>
                <c:pt idx="506">
                  <c:v>4059.7666666666601</c:v>
                </c:pt>
                <c:pt idx="507">
                  <c:v>4267.6000000000004</c:v>
                </c:pt>
                <c:pt idx="508">
                  <c:v>4184.2</c:v>
                </c:pt>
                <c:pt idx="509">
                  <c:v>4199.6000000000004</c:v>
                </c:pt>
                <c:pt idx="510">
                  <c:v>4043</c:v>
                </c:pt>
                <c:pt idx="511">
                  <c:v>4149.0666666666602</c:v>
                </c:pt>
                <c:pt idx="512">
                  <c:v>4112.2333333333299</c:v>
                </c:pt>
                <c:pt idx="513">
                  <c:v>4074.4333333333302</c:v>
                </c:pt>
                <c:pt idx="514">
                  <c:v>4010.7333333333299</c:v>
                </c:pt>
                <c:pt idx="515">
                  <c:v>4100.4666666666599</c:v>
                </c:pt>
                <c:pt idx="516">
                  <c:v>4153.0666666666602</c:v>
                </c:pt>
                <c:pt idx="517">
                  <c:v>2704.5</c:v>
                </c:pt>
                <c:pt idx="518">
                  <c:v>2717.9333333333302</c:v>
                </c:pt>
                <c:pt idx="519">
                  <c:v>2692.3333333333298</c:v>
                </c:pt>
                <c:pt idx="520">
                  <c:v>2672.13333333333</c:v>
                </c:pt>
                <c:pt idx="521">
                  <c:v>3458.13333333333</c:v>
                </c:pt>
                <c:pt idx="522">
                  <c:v>3885</c:v>
                </c:pt>
                <c:pt idx="523">
                  <c:v>1876.2666666666601</c:v>
                </c:pt>
                <c:pt idx="524">
                  <c:v>2165.8000000000002</c:v>
                </c:pt>
                <c:pt idx="525">
                  <c:v>2126.9</c:v>
                </c:pt>
                <c:pt idx="526">
                  <c:v>2223.9</c:v>
                </c:pt>
                <c:pt idx="527">
                  <c:v>2128</c:v>
                </c:pt>
                <c:pt idx="528">
                  <c:v>2074.2666666666601</c:v>
                </c:pt>
                <c:pt idx="529">
                  <c:v>2231.3333333333298</c:v>
                </c:pt>
                <c:pt idx="530">
                  <c:v>2171.6999999999998</c:v>
                </c:pt>
                <c:pt idx="531">
                  <c:v>2154.6666666666601</c:v>
                </c:pt>
                <c:pt idx="532">
                  <c:v>2127.4333333333302</c:v>
                </c:pt>
                <c:pt idx="533">
                  <c:v>2061.1999999999998</c:v>
                </c:pt>
                <c:pt idx="534">
                  <c:v>2261.13333333333</c:v>
                </c:pt>
                <c:pt idx="535">
                  <c:v>2311.36666666666</c:v>
                </c:pt>
                <c:pt idx="536">
                  <c:v>2165.6999999999998</c:v>
                </c:pt>
                <c:pt idx="537">
                  <c:v>2317.86666666666</c:v>
                </c:pt>
                <c:pt idx="538">
                  <c:v>2174.63333333333</c:v>
                </c:pt>
                <c:pt idx="539">
                  <c:v>1593.06666666666</c:v>
                </c:pt>
                <c:pt idx="540">
                  <c:v>1891.6666666666599</c:v>
                </c:pt>
                <c:pt idx="541">
                  <c:v>1744.7</c:v>
                </c:pt>
                <c:pt idx="542">
                  <c:v>1614.4666666666601</c:v>
                </c:pt>
                <c:pt idx="543">
                  <c:v>5030.9333333333298</c:v>
                </c:pt>
                <c:pt idx="544">
                  <c:v>4072.4666666666599</c:v>
                </c:pt>
                <c:pt idx="545">
                  <c:v>4196.6000000000004</c:v>
                </c:pt>
                <c:pt idx="546">
                  <c:v>4045.3333333333298</c:v>
                </c:pt>
                <c:pt idx="547">
                  <c:v>3627.0333333333301</c:v>
                </c:pt>
                <c:pt idx="548">
                  <c:v>3628.7666666666601</c:v>
                </c:pt>
                <c:pt idx="549">
                  <c:v>3327.6666666666601</c:v>
                </c:pt>
                <c:pt idx="550">
                  <c:v>3401</c:v>
                </c:pt>
                <c:pt idx="551">
                  <c:v>3237.4666666666599</c:v>
                </c:pt>
                <c:pt idx="552">
                  <c:v>3376.7666666666601</c:v>
                </c:pt>
                <c:pt idx="553">
                  <c:v>3151.1666666666601</c:v>
                </c:pt>
                <c:pt idx="554">
                  <c:v>3337.1</c:v>
                </c:pt>
                <c:pt idx="555">
                  <c:v>3092.8333333333298</c:v>
                </c:pt>
                <c:pt idx="556">
                  <c:v>1418.06666666666</c:v>
                </c:pt>
                <c:pt idx="557">
                  <c:v>1491</c:v>
                </c:pt>
                <c:pt idx="558">
                  <c:v>1509.2333333333299</c:v>
                </c:pt>
                <c:pt idx="559">
                  <c:v>1504.4</c:v>
                </c:pt>
                <c:pt idx="560">
                  <c:v>1549.6666666666599</c:v>
                </c:pt>
                <c:pt idx="561">
                  <c:v>2016.0333333333299</c:v>
                </c:pt>
                <c:pt idx="562">
                  <c:v>2147.63333333333</c:v>
                </c:pt>
                <c:pt idx="563">
                  <c:v>1876.63333333333</c:v>
                </c:pt>
                <c:pt idx="564">
                  <c:v>1752</c:v>
                </c:pt>
                <c:pt idx="565">
                  <c:v>1936.6</c:v>
                </c:pt>
                <c:pt idx="566">
                  <c:v>4413.2</c:v>
                </c:pt>
                <c:pt idx="567">
                  <c:v>4030.5666666666598</c:v>
                </c:pt>
                <c:pt idx="568">
                  <c:v>3689.2333333333299</c:v>
                </c:pt>
                <c:pt idx="569">
                  <c:v>3801.4</c:v>
                </c:pt>
                <c:pt idx="570">
                  <c:v>3206.8</c:v>
                </c:pt>
                <c:pt idx="571">
                  <c:v>3871.5</c:v>
                </c:pt>
                <c:pt idx="572">
                  <c:v>3688.3</c:v>
                </c:pt>
                <c:pt idx="573">
                  <c:v>1423.06666666666</c:v>
                </c:pt>
                <c:pt idx="574">
                  <c:v>2594.1</c:v>
                </c:pt>
                <c:pt idx="575">
                  <c:v>1344.4</c:v>
                </c:pt>
                <c:pt idx="576">
                  <c:v>1284</c:v>
                </c:pt>
                <c:pt idx="577">
                  <c:v>866.76666666666597</c:v>
                </c:pt>
                <c:pt idx="578">
                  <c:v>871.46666666666601</c:v>
                </c:pt>
                <c:pt idx="579">
                  <c:v>1195.43333333333</c:v>
                </c:pt>
                <c:pt idx="580">
                  <c:v>4775.2666666666601</c:v>
                </c:pt>
                <c:pt idx="581">
                  <c:v>4026.0333333333301</c:v>
                </c:pt>
                <c:pt idx="582">
                  <c:v>4135.3666666666604</c:v>
                </c:pt>
                <c:pt idx="583">
                  <c:v>4090.2333333333299</c:v>
                </c:pt>
                <c:pt idx="584">
                  <c:v>2085.7333333333299</c:v>
                </c:pt>
                <c:pt idx="585">
                  <c:v>3032.8333333333298</c:v>
                </c:pt>
                <c:pt idx="586">
                  <c:v>1898.7</c:v>
                </c:pt>
                <c:pt idx="587">
                  <c:v>3518.9333333333302</c:v>
                </c:pt>
                <c:pt idx="588">
                  <c:v>1444.8</c:v>
                </c:pt>
                <c:pt idx="589">
                  <c:v>1630.6666666666599</c:v>
                </c:pt>
                <c:pt idx="590">
                  <c:v>1591.8333333333301</c:v>
                </c:pt>
                <c:pt idx="591">
                  <c:v>1569.5</c:v>
                </c:pt>
                <c:pt idx="592">
                  <c:v>1565.06666666666</c:v>
                </c:pt>
                <c:pt idx="593">
                  <c:v>1612.43333333333</c:v>
                </c:pt>
                <c:pt idx="594">
                  <c:v>1731.9666666666601</c:v>
                </c:pt>
                <c:pt idx="595">
                  <c:v>1981.3333333333301</c:v>
                </c:pt>
                <c:pt idx="596">
                  <c:v>3459.4</c:v>
                </c:pt>
                <c:pt idx="597">
                  <c:v>2162.3000000000002</c:v>
                </c:pt>
                <c:pt idx="598">
                  <c:v>2972.6666666666601</c:v>
                </c:pt>
                <c:pt idx="599">
                  <c:v>2044.6</c:v>
                </c:pt>
                <c:pt idx="600">
                  <c:v>2033.63333333333</c:v>
                </c:pt>
                <c:pt idx="601">
                  <c:v>4573.6000000000004</c:v>
                </c:pt>
                <c:pt idx="602">
                  <c:v>3872</c:v>
                </c:pt>
                <c:pt idx="603">
                  <c:v>3780.63333333333</c:v>
                </c:pt>
                <c:pt idx="604">
                  <c:v>2103.6</c:v>
                </c:pt>
                <c:pt idx="605">
                  <c:v>2327</c:v>
                </c:pt>
                <c:pt idx="606">
                  <c:v>1970.2</c:v>
                </c:pt>
                <c:pt idx="607">
                  <c:v>1904.43333333333</c:v>
                </c:pt>
                <c:pt idx="608">
                  <c:v>3844.4</c:v>
                </c:pt>
                <c:pt idx="609">
                  <c:v>3617.5</c:v>
                </c:pt>
                <c:pt idx="610">
                  <c:v>1555.7666666666601</c:v>
                </c:pt>
                <c:pt idx="611">
                  <c:v>2678.0666666666598</c:v>
                </c:pt>
                <c:pt idx="612">
                  <c:v>2724.0666666666598</c:v>
                </c:pt>
                <c:pt idx="613">
                  <c:v>2147.8000000000002</c:v>
                </c:pt>
                <c:pt idx="614">
                  <c:v>2181.1666666666601</c:v>
                </c:pt>
                <c:pt idx="615">
                  <c:v>3047.6</c:v>
                </c:pt>
                <c:pt idx="616">
                  <c:v>2198.4666666666599</c:v>
                </c:pt>
                <c:pt idx="617">
                  <c:v>2040.9</c:v>
                </c:pt>
                <c:pt idx="618">
                  <c:v>1269.3333333333301</c:v>
                </c:pt>
                <c:pt idx="619">
                  <c:v>4305.5333333333301</c:v>
                </c:pt>
                <c:pt idx="620">
                  <c:v>4041.9</c:v>
                </c:pt>
                <c:pt idx="621">
                  <c:v>4218.3</c:v>
                </c:pt>
                <c:pt idx="622">
                  <c:v>4303.0666666666602</c:v>
                </c:pt>
                <c:pt idx="623">
                  <c:v>1254.2333333333299</c:v>
                </c:pt>
                <c:pt idx="624">
                  <c:v>1449.4666666666601</c:v>
                </c:pt>
                <c:pt idx="625">
                  <c:v>1671.2666666666601</c:v>
                </c:pt>
                <c:pt idx="626">
                  <c:v>1737.8</c:v>
                </c:pt>
                <c:pt idx="627">
                  <c:v>1685.06666666666</c:v>
                </c:pt>
                <c:pt idx="628">
                  <c:v>2233.4333333333302</c:v>
                </c:pt>
                <c:pt idx="629">
                  <c:v>1993.3333333333301</c:v>
                </c:pt>
                <c:pt idx="630">
                  <c:v>2020.7666666666601</c:v>
                </c:pt>
                <c:pt idx="631">
                  <c:v>1868.4666666666601</c:v>
                </c:pt>
                <c:pt idx="632">
                  <c:v>1811</c:v>
                </c:pt>
                <c:pt idx="633">
                  <c:v>1616.56666666666</c:v>
                </c:pt>
                <c:pt idx="634">
                  <c:v>1644.8333333333301</c:v>
                </c:pt>
                <c:pt idx="635">
                  <c:v>1660.7666666666601</c:v>
                </c:pt>
                <c:pt idx="636">
                  <c:v>1593.8333333333301</c:v>
                </c:pt>
                <c:pt idx="637">
                  <c:v>1498.8333333333301</c:v>
                </c:pt>
                <c:pt idx="638">
                  <c:v>3570</c:v>
                </c:pt>
                <c:pt idx="639">
                  <c:v>2217</c:v>
                </c:pt>
                <c:pt idx="640">
                  <c:v>1939.8</c:v>
                </c:pt>
                <c:pt idx="641">
                  <c:v>2105</c:v>
                </c:pt>
                <c:pt idx="642">
                  <c:v>2954.7</c:v>
                </c:pt>
                <c:pt idx="643">
                  <c:v>4091.4333333333302</c:v>
                </c:pt>
                <c:pt idx="644">
                  <c:v>3749</c:v>
                </c:pt>
                <c:pt idx="645">
                  <c:v>2915.8333333333298</c:v>
                </c:pt>
                <c:pt idx="646">
                  <c:v>3037</c:v>
                </c:pt>
                <c:pt idx="647">
                  <c:v>3142.5333333333301</c:v>
                </c:pt>
                <c:pt idx="648">
                  <c:v>1962.3333333333301</c:v>
                </c:pt>
                <c:pt idx="649">
                  <c:v>1991.3333333333301</c:v>
                </c:pt>
                <c:pt idx="650">
                  <c:v>1926.2</c:v>
                </c:pt>
                <c:pt idx="651">
                  <c:v>2429</c:v>
                </c:pt>
                <c:pt idx="652">
                  <c:v>2849.3</c:v>
                </c:pt>
                <c:pt idx="653">
                  <c:v>2781.6666666666601</c:v>
                </c:pt>
                <c:pt idx="654">
                  <c:v>1706.5</c:v>
                </c:pt>
                <c:pt idx="655">
                  <c:v>1619.4666666666601</c:v>
                </c:pt>
                <c:pt idx="656">
                  <c:v>1631.6666666666599</c:v>
                </c:pt>
                <c:pt idx="657">
                  <c:v>1633.63333333333</c:v>
                </c:pt>
                <c:pt idx="658">
                  <c:v>3075.7666666666601</c:v>
                </c:pt>
                <c:pt idx="659">
                  <c:v>1547.4</c:v>
                </c:pt>
                <c:pt idx="660">
                  <c:v>1517.4</c:v>
                </c:pt>
                <c:pt idx="661">
                  <c:v>4249.0333333333301</c:v>
                </c:pt>
                <c:pt idx="662">
                  <c:v>4174.5</c:v>
                </c:pt>
                <c:pt idx="663">
                  <c:v>2912.0333333333301</c:v>
                </c:pt>
                <c:pt idx="664">
                  <c:v>2104.4666666666599</c:v>
                </c:pt>
                <c:pt idx="665">
                  <c:v>2146.7333333333299</c:v>
                </c:pt>
                <c:pt idx="666">
                  <c:v>2043.86666666666</c:v>
                </c:pt>
                <c:pt idx="667">
                  <c:v>1976.4</c:v>
                </c:pt>
                <c:pt idx="668">
                  <c:v>1952</c:v>
                </c:pt>
                <c:pt idx="669">
                  <c:v>2129.9333333333302</c:v>
                </c:pt>
                <c:pt idx="670">
                  <c:v>4000.5</c:v>
                </c:pt>
                <c:pt idx="671">
                  <c:v>3486.4666666666599</c:v>
                </c:pt>
                <c:pt idx="672">
                  <c:v>1630</c:v>
                </c:pt>
                <c:pt idx="673">
                  <c:v>2728.13333333333</c:v>
                </c:pt>
                <c:pt idx="674">
                  <c:v>2855.86666666666</c:v>
                </c:pt>
                <c:pt idx="675">
                  <c:v>1554.9</c:v>
                </c:pt>
                <c:pt idx="676">
                  <c:v>1609.9666666666601</c:v>
                </c:pt>
                <c:pt idx="677">
                  <c:v>2923.7333333333299</c:v>
                </c:pt>
                <c:pt idx="678">
                  <c:v>1625.6</c:v>
                </c:pt>
                <c:pt idx="679">
                  <c:v>2105.86666666666</c:v>
                </c:pt>
                <c:pt idx="680">
                  <c:v>1778.3333333333301</c:v>
                </c:pt>
                <c:pt idx="681">
                  <c:v>1605.1</c:v>
                </c:pt>
                <c:pt idx="682">
                  <c:v>1582.7666666666601</c:v>
                </c:pt>
                <c:pt idx="683">
                  <c:v>1610.6666666666599</c:v>
                </c:pt>
                <c:pt idx="684">
                  <c:v>1587.9</c:v>
                </c:pt>
                <c:pt idx="685">
                  <c:v>1634.8</c:v>
                </c:pt>
                <c:pt idx="686">
                  <c:v>1587.9</c:v>
                </c:pt>
                <c:pt idx="687">
                  <c:v>1636.2</c:v>
                </c:pt>
                <c:pt idx="688">
                  <c:v>1580.6</c:v>
                </c:pt>
                <c:pt idx="689">
                  <c:v>1622.13333333333</c:v>
                </c:pt>
                <c:pt idx="690">
                  <c:v>1566.06666666666</c:v>
                </c:pt>
                <c:pt idx="691">
                  <c:v>1602.6666666666599</c:v>
                </c:pt>
                <c:pt idx="692">
                  <c:v>1618.5333333333299</c:v>
                </c:pt>
                <c:pt idx="693">
                  <c:v>3977</c:v>
                </c:pt>
                <c:pt idx="694">
                  <c:v>3495.5</c:v>
                </c:pt>
                <c:pt idx="695">
                  <c:v>3096.0333333333301</c:v>
                </c:pt>
                <c:pt idx="696">
                  <c:v>2108.7333333333299</c:v>
                </c:pt>
                <c:pt idx="697">
                  <c:v>2111.86666666666</c:v>
                </c:pt>
                <c:pt idx="698">
                  <c:v>3001.6666666666601</c:v>
                </c:pt>
                <c:pt idx="699">
                  <c:v>2073.2666666666601</c:v>
                </c:pt>
                <c:pt idx="700">
                  <c:v>1638.6</c:v>
                </c:pt>
                <c:pt idx="701">
                  <c:v>1604.2</c:v>
                </c:pt>
                <c:pt idx="702">
                  <c:v>1524.7666666666601</c:v>
                </c:pt>
                <c:pt idx="703">
                  <c:v>1159</c:v>
                </c:pt>
                <c:pt idx="704">
                  <c:v>1149.4666666666601</c:v>
                </c:pt>
                <c:pt idx="705">
                  <c:v>1186.2</c:v>
                </c:pt>
                <c:pt idx="706">
                  <c:v>1230.63333333333</c:v>
                </c:pt>
                <c:pt idx="707">
                  <c:v>2086.0666666666598</c:v>
                </c:pt>
                <c:pt idx="708">
                  <c:v>2110.2666666666601</c:v>
                </c:pt>
                <c:pt idx="709">
                  <c:v>3106.2333333333299</c:v>
                </c:pt>
              </c:numCache>
            </c:numRef>
          </c:xVal>
          <c:yVal>
            <c:numRef>
              <c:f>[1]Modeling_final!$GL$2:$GL$711</c:f>
              <c:numCache>
                <c:formatCode>General</c:formatCode>
                <c:ptCount val="710"/>
                <c:pt idx="0">
                  <c:v>3150.6599433268671</c:v>
                </c:pt>
                <c:pt idx="1">
                  <c:v>3003.0892778336197</c:v>
                </c:pt>
                <c:pt idx="2">
                  <c:v>1847.3595027763113</c:v>
                </c:pt>
                <c:pt idx="3">
                  <c:v>3483.6135094097708</c:v>
                </c:pt>
                <c:pt idx="4">
                  <c:v>1581.7242778336199</c:v>
                </c:pt>
                <c:pt idx="5">
                  <c:v>1617.7000029005071</c:v>
                </c:pt>
                <c:pt idx="6">
                  <c:v>1674.6902419575058</c:v>
                </c:pt>
                <c:pt idx="7">
                  <c:v>1602.0172184856124</c:v>
                </c:pt>
                <c:pt idx="8">
                  <c:v>3717.1267295877701</c:v>
                </c:pt>
                <c:pt idx="9">
                  <c:v>3707.6478933942512</c:v>
                </c:pt>
                <c:pt idx="10">
                  <c:v>3580.4021139210827</c:v>
                </c:pt>
                <c:pt idx="11">
                  <c:v>1838.4297693455824</c:v>
                </c:pt>
                <c:pt idx="12">
                  <c:v>4032.4172734816402</c:v>
                </c:pt>
                <c:pt idx="13">
                  <c:v>3887.5916354020119</c:v>
                </c:pt>
                <c:pt idx="14">
                  <c:v>3491.8633530092766</c:v>
                </c:pt>
                <c:pt idx="15">
                  <c:v>3548.4302725860298</c:v>
                </c:pt>
                <c:pt idx="16">
                  <c:v>2171.5593770513242</c:v>
                </c:pt>
                <c:pt idx="17">
                  <c:v>2061.9821037295342</c:v>
                </c:pt>
                <c:pt idx="18">
                  <c:v>2095.4930917998745</c:v>
                </c:pt>
                <c:pt idx="19">
                  <c:v>2046.1257948934481</c:v>
                </c:pt>
                <c:pt idx="20">
                  <c:v>2055.6317869637733</c:v>
                </c:pt>
                <c:pt idx="21">
                  <c:v>2183.0168761499826</c:v>
                </c:pt>
                <c:pt idx="22">
                  <c:v>2101.9091083780304</c:v>
                </c:pt>
                <c:pt idx="23">
                  <c:v>2117.9957241859229</c:v>
                </c:pt>
                <c:pt idx="24">
                  <c:v>2097.0961012435628</c:v>
                </c:pt>
                <c:pt idx="25">
                  <c:v>2158.5062918880094</c:v>
                </c:pt>
                <c:pt idx="26">
                  <c:v>1539.3139535300911</c:v>
                </c:pt>
                <c:pt idx="27">
                  <c:v>1633.4034316936195</c:v>
                </c:pt>
                <c:pt idx="28">
                  <c:v>1510.8241174173641</c:v>
                </c:pt>
                <c:pt idx="29">
                  <c:v>1559.3843364609866</c:v>
                </c:pt>
                <c:pt idx="30">
                  <c:v>1460.0738487487893</c:v>
                </c:pt>
                <c:pt idx="31">
                  <c:v>1161.823009610885</c:v>
                </c:pt>
                <c:pt idx="32">
                  <c:v>1236.4983360939555</c:v>
                </c:pt>
                <c:pt idx="33">
                  <c:v>1170.2035366402733</c:v>
                </c:pt>
                <c:pt idx="34">
                  <c:v>1139.564998906902</c:v>
                </c:pt>
                <c:pt idx="35">
                  <c:v>1371.1762786172017</c:v>
                </c:pt>
                <c:pt idx="36">
                  <c:v>1215.2146074927709</c:v>
                </c:pt>
                <c:pt idx="37">
                  <c:v>2044.3844414845908</c:v>
                </c:pt>
                <c:pt idx="38">
                  <c:v>1694.9887495577414</c:v>
                </c:pt>
                <c:pt idx="39">
                  <c:v>1788.019291154797</c:v>
                </c:pt>
                <c:pt idx="40">
                  <c:v>1907.2126893837603</c:v>
                </c:pt>
                <c:pt idx="41">
                  <c:v>1839.0679487475268</c:v>
                </c:pt>
                <c:pt idx="42">
                  <c:v>1769.2307259054783</c:v>
                </c:pt>
                <c:pt idx="43">
                  <c:v>1805.4450049258394</c:v>
                </c:pt>
                <c:pt idx="44">
                  <c:v>3023.3822184856122</c:v>
                </c:pt>
                <c:pt idx="45">
                  <c:v>3145.8108546293574</c:v>
                </c:pt>
                <c:pt idx="46">
                  <c:v>3147.4265447871962</c:v>
                </c:pt>
                <c:pt idx="47">
                  <c:v>2419.8830236633303</c:v>
                </c:pt>
                <c:pt idx="48">
                  <c:v>2121.7169585340516</c:v>
                </c:pt>
                <c:pt idx="49">
                  <c:v>1747.9415186944816</c:v>
                </c:pt>
                <c:pt idx="50">
                  <c:v>1842.714086522994</c:v>
                </c:pt>
                <c:pt idx="51">
                  <c:v>1573.9476008520928</c:v>
                </c:pt>
                <c:pt idx="52">
                  <c:v>1676.2853373587036</c:v>
                </c:pt>
                <c:pt idx="53">
                  <c:v>1706.717504140986</c:v>
                </c:pt>
                <c:pt idx="54">
                  <c:v>1639.7632874514161</c:v>
                </c:pt>
                <c:pt idx="55">
                  <c:v>1639.2699203708585</c:v>
                </c:pt>
                <c:pt idx="56">
                  <c:v>1594.0382739304287</c:v>
                </c:pt>
                <c:pt idx="57">
                  <c:v>1655.4492786172013</c:v>
                </c:pt>
                <c:pt idx="58">
                  <c:v>1545.0375754661786</c:v>
                </c:pt>
                <c:pt idx="59">
                  <c:v>1636.3355518602089</c:v>
                </c:pt>
                <c:pt idx="60">
                  <c:v>1634.8692109319395</c:v>
                </c:pt>
                <c:pt idx="61">
                  <c:v>2320.5529795877701</c:v>
                </c:pt>
                <c:pt idx="62">
                  <c:v>2151.8800443248861</c:v>
                </c:pt>
                <c:pt idx="63">
                  <c:v>2150.3662558576052</c:v>
                </c:pt>
                <c:pt idx="64">
                  <c:v>2253.1291837784547</c:v>
                </c:pt>
                <c:pt idx="65">
                  <c:v>2264.0253119397239</c:v>
                </c:pt>
                <c:pt idx="66">
                  <c:v>1984.4929019606552</c:v>
                </c:pt>
                <c:pt idx="67">
                  <c:v>2079.882704190703</c:v>
                </c:pt>
                <c:pt idx="68">
                  <c:v>2132.2471319709603</c:v>
                </c:pt>
                <c:pt idx="69">
                  <c:v>3798.6848365194428</c:v>
                </c:pt>
                <c:pt idx="70">
                  <c:v>3348.0484596485117</c:v>
                </c:pt>
                <c:pt idx="71">
                  <c:v>3319.2310941697147</c:v>
                </c:pt>
                <c:pt idx="72">
                  <c:v>3320.9203639210823</c:v>
                </c:pt>
                <c:pt idx="73">
                  <c:v>3377.0797582012351</c:v>
                </c:pt>
                <c:pt idx="74">
                  <c:v>3319.2310941695573</c:v>
                </c:pt>
                <c:pt idx="75">
                  <c:v>3349.7502322144032</c:v>
                </c:pt>
                <c:pt idx="76">
                  <c:v>3397.7028612847721</c:v>
                </c:pt>
                <c:pt idx="77">
                  <c:v>3270.5575063809479</c:v>
                </c:pt>
                <c:pt idx="78">
                  <c:v>3353.1560004577218</c:v>
                </c:pt>
                <c:pt idx="79">
                  <c:v>3348.0484596485117</c:v>
                </c:pt>
                <c:pt idx="80">
                  <c:v>3363.391133522447</c:v>
                </c:pt>
                <c:pt idx="81">
                  <c:v>3329.3776851807402</c:v>
                </c:pt>
                <c:pt idx="82">
                  <c:v>3366.808803466181</c:v>
                </c:pt>
                <c:pt idx="83">
                  <c:v>3339.5506883468911</c:v>
                </c:pt>
                <c:pt idx="84">
                  <c:v>2313.490806331798</c:v>
                </c:pt>
                <c:pt idx="85">
                  <c:v>1481.1375288309855</c:v>
                </c:pt>
                <c:pt idx="86">
                  <c:v>2189.9196196485254</c:v>
                </c:pt>
                <c:pt idx="87">
                  <c:v>2471.5590385197584</c:v>
                </c:pt>
                <c:pt idx="88">
                  <c:v>2191.449048624841</c:v>
                </c:pt>
                <c:pt idx="89">
                  <c:v>583.70374922757128</c:v>
                </c:pt>
                <c:pt idx="90">
                  <c:v>2336.6073554345671</c:v>
                </c:pt>
                <c:pt idx="91">
                  <c:v>2062.0924665798934</c:v>
                </c:pt>
                <c:pt idx="92">
                  <c:v>1773.6431274801603</c:v>
                </c:pt>
                <c:pt idx="93">
                  <c:v>1743.9841424727069</c:v>
                </c:pt>
                <c:pt idx="94">
                  <c:v>1722.2749964658365</c:v>
                </c:pt>
                <c:pt idx="95">
                  <c:v>1792.493061036796</c:v>
                </c:pt>
                <c:pt idx="96">
                  <c:v>1828.8808110403374</c:v>
                </c:pt>
                <c:pt idx="97">
                  <c:v>1840.0235527864556</c:v>
                </c:pt>
                <c:pt idx="98">
                  <c:v>1855.9975351540229</c:v>
                </c:pt>
                <c:pt idx="99">
                  <c:v>1833.6523483982651</c:v>
                </c:pt>
                <c:pt idx="100">
                  <c:v>1875.2535802259786</c:v>
                </c:pt>
                <c:pt idx="101">
                  <c:v>1808.2718106036887</c:v>
                </c:pt>
                <c:pt idx="102">
                  <c:v>1827.2916037295104</c:v>
                </c:pt>
                <c:pt idx="103">
                  <c:v>1844.8088394915371</c:v>
                </c:pt>
                <c:pt idx="104">
                  <c:v>1860.8025917998743</c:v>
                </c:pt>
                <c:pt idx="105">
                  <c:v>1820.9412869637731</c:v>
                </c:pt>
                <c:pt idx="106">
                  <c:v>1835.2441676505455</c:v>
                </c:pt>
                <c:pt idx="107">
                  <c:v>1859.2002446422507</c:v>
                </c:pt>
                <c:pt idx="108">
                  <c:v>1809.8532295876835</c:v>
                </c:pt>
                <c:pt idx="109">
                  <c:v>1846.4052488581851</c:v>
                </c:pt>
                <c:pt idx="110">
                  <c:v>1828.8808110403374</c:v>
                </c:pt>
                <c:pt idx="111">
                  <c:v>1816.1853736436401</c:v>
                </c:pt>
                <c:pt idx="112">
                  <c:v>1830.4706705911035</c:v>
                </c:pt>
                <c:pt idx="113">
                  <c:v>1886.5305643678635</c:v>
                </c:pt>
                <c:pt idx="114">
                  <c:v>1808.2718106036887</c:v>
                </c:pt>
                <c:pt idx="115">
                  <c:v>1822.5278902737587</c:v>
                </c:pt>
                <c:pt idx="116">
                  <c:v>1509.2350824777382</c:v>
                </c:pt>
                <c:pt idx="117">
                  <c:v>1662.8261914391742</c:v>
                </c:pt>
                <c:pt idx="118">
                  <c:v>1543.6058640366978</c:v>
                </c:pt>
                <c:pt idx="119">
                  <c:v>1562.2601764344822</c:v>
                </c:pt>
                <c:pt idx="120">
                  <c:v>4071.0732369763987</c:v>
                </c:pt>
                <c:pt idx="121">
                  <c:v>3948.2413529123501</c:v>
                </c:pt>
                <c:pt idx="122">
                  <c:v>4090.5710418880094</c:v>
                </c:pt>
                <c:pt idx="123">
                  <c:v>4255.2655809608641</c:v>
                </c:pt>
                <c:pt idx="124">
                  <c:v>4301.4146985733241</c:v>
                </c:pt>
                <c:pt idx="125">
                  <c:v>4043.6178231946801</c:v>
                </c:pt>
                <c:pt idx="126">
                  <c:v>1539.9151577297721</c:v>
                </c:pt>
                <c:pt idx="127">
                  <c:v>1587.9569141075049</c:v>
                </c:pt>
                <c:pt idx="128">
                  <c:v>1721.2164899383129</c:v>
                </c:pt>
                <c:pt idx="129">
                  <c:v>1797.8252300476129</c:v>
                </c:pt>
                <c:pt idx="130">
                  <c:v>1938.392075466179</c:v>
                </c:pt>
                <c:pt idx="131">
                  <c:v>2115.7126512443315</c:v>
                </c:pt>
                <c:pt idx="132">
                  <c:v>1543.6058640366978</c:v>
                </c:pt>
                <c:pt idx="133">
                  <c:v>1981.5952299566325</c:v>
                </c:pt>
                <c:pt idx="134">
                  <c:v>1854.8289667237045</c:v>
                </c:pt>
                <c:pt idx="135">
                  <c:v>3315.6244149383124</c:v>
                </c:pt>
                <c:pt idx="136">
                  <c:v>3022.9460373587035</c:v>
                </c:pt>
                <c:pt idx="137">
                  <c:v>2037.5480234816405</c:v>
                </c:pt>
                <c:pt idx="138">
                  <c:v>2039.1523590229253</c:v>
                </c:pt>
                <c:pt idx="139">
                  <c:v>1969.1824176855971</c:v>
                </c:pt>
                <c:pt idx="140">
                  <c:v>1996.0666402737588</c:v>
                </c:pt>
                <c:pt idx="141">
                  <c:v>2866.9930944256662</c:v>
                </c:pt>
                <c:pt idx="142">
                  <c:v>1944.0491370750524</c:v>
                </c:pt>
                <c:pt idx="143">
                  <c:v>1970.7586836721712</c:v>
                </c:pt>
                <c:pt idx="144">
                  <c:v>2002.4195610403694</c:v>
                </c:pt>
                <c:pt idx="145">
                  <c:v>2050.4013231946801</c:v>
                </c:pt>
                <c:pt idx="146">
                  <c:v>1868.0803015415308</c:v>
                </c:pt>
                <c:pt idx="147">
                  <c:v>1922.1907778336199</c:v>
                </c:pt>
                <c:pt idx="148">
                  <c:v>2809.5568664304033</c:v>
                </c:pt>
                <c:pt idx="149">
                  <c:v>1940.9189336705003</c:v>
                </c:pt>
                <c:pt idx="150">
                  <c:v>1981.8105606036888</c:v>
                </c:pt>
                <c:pt idx="151">
                  <c:v>2031.1373092625608</c:v>
                </c:pt>
                <c:pt idx="152">
                  <c:v>1774.6175220558907</c:v>
                </c:pt>
                <c:pt idx="153">
                  <c:v>1758.5907187235371</c:v>
                </c:pt>
                <c:pt idx="154">
                  <c:v>1723.563279141862</c:v>
                </c:pt>
                <c:pt idx="155">
                  <c:v>3896.613531924058</c:v>
                </c:pt>
                <c:pt idx="156">
                  <c:v>3581.7482122193446</c:v>
                </c:pt>
                <c:pt idx="157">
                  <c:v>3808.1185474114427</c:v>
                </c:pt>
                <c:pt idx="158">
                  <c:v>3850.2058481981339</c:v>
                </c:pt>
                <c:pt idx="159">
                  <c:v>3888.7750736091648</c:v>
                </c:pt>
                <c:pt idx="160">
                  <c:v>3780.6667719380434</c:v>
                </c:pt>
                <c:pt idx="161">
                  <c:v>3560.2508907897477</c:v>
                </c:pt>
                <c:pt idx="162">
                  <c:v>3591.2196020386696</c:v>
                </c:pt>
                <c:pt idx="163">
                  <c:v>3688.9865846543184</c:v>
                </c:pt>
                <c:pt idx="164">
                  <c:v>3001.0807224114428</c:v>
                </c:pt>
                <c:pt idx="165">
                  <c:v>2982.8227865014319</c:v>
                </c:pt>
                <c:pt idx="166">
                  <c:v>3083.4658309608717</c:v>
                </c:pt>
                <c:pt idx="167">
                  <c:v>3078.3715981981336</c:v>
                </c:pt>
                <c:pt idx="168">
                  <c:v>3021.0964710162903</c:v>
                </c:pt>
                <c:pt idx="169">
                  <c:v>3103.9093835224471</c:v>
                </c:pt>
                <c:pt idx="170">
                  <c:v>2979.5123327923334</c:v>
                </c:pt>
                <c:pt idx="171">
                  <c:v>3029.4667725859986</c:v>
                </c:pt>
                <c:pt idx="172">
                  <c:v>3037.8550652775489</c:v>
                </c:pt>
                <c:pt idx="173">
                  <c:v>1775.2104502491634</c:v>
                </c:pt>
                <c:pt idx="174">
                  <c:v>3544.1997399383131</c:v>
                </c:pt>
                <c:pt idx="175">
                  <c:v>3324.5863400307876</c:v>
                </c:pt>
                <c:pt idx="176">
                  <c:v>4448.442674325177</c:v>
                </c:pt>
                <c:pt idx="177">
                  <c:v>4486.6870152641004</c:v>
                </c:pt>
                <c:pt idx="178">
                  <c:v>4550.9244665840151</c:v>
                </c:pt>
                <c:pt idx="179">
                  <c:v>4244.6543592938515</c:v>
                </c:pt>
                <c:pt idx="180">
                  <c:v>4261.6272205408441</c:v>
                </c:pt>
                <c:pt idx="181">
                  <c:v>4222.9985484497493</c:v>
                </c:pt>
                <c:pt idx="182">
                  <c:v>4321.8100815067692</c:v>
                </c:pt>
                <c:pt idx="183">
                  <c:v>4320.0375186384044</c:v>
                </c:pt>
                <c:pt idx="184">
                  <c:v>4246.4643929592321</c:v>
                </c:pt>
                <c:pt idx="185">
                  <c:v>4076.3901775978538</c:v>
                </c:pt>
                <c:pt idx="186">
                  <c:v>4128.7520423215046</c:v>
                </c:pt>
                <c:pt idx="187">
                  <c:v>4230.2039362947071</c:v>
                </c:pt>
                <c:pt idx="188">
                  <c:v>4244.6543592938515</c:v>
                </c:pt>
                <c:pt idx="189">
                  <c:v>4376.1500172300994</c:v>
                </c:pt>
                <c:pt idx="190">
                  <c:v>4212.215119135366</c:v>
                </c:pt>
                <c:pt idx="191">
                  <c:v>4339.6336123687943</c:v>
                </c:pt>
                <c:pt idx="192">
                  <c:v>4208.6271942312342</c:v>
                </c:pt>
                <c:pt idx="193">
                  <c:v>4299.0881118829348</c:v>
                </c:pt>
                <c:pt idx="194">
                  <c:v>4253.7128492277279</c:v>
                </c:pt>
                <c:pt idx="195">
                  <c:v>4194.3081035566993</c:v>
                </c:pt>
                <c:pt idx="196">
                  <c:v>4279.3467206404757</c:v>
                </c:pt>
                <c:pt idx="197">
                  <c:v>2833.2517444506648</c:v>
                </c:pt>
                <c:pt idx="198">
                  <c:v>1987.775850567853</c:v>
                </c:pt>
                <c:pt idx="199">
                  <c:v>1715.6464795876836</c:v>
                </c:pt>
                <c:pt idx="200">
                  <c:v>1798.7825447871965</c:v>
                </c:pt>
                <c:pt idx="201">
                  <c:v>1768.1988512435628</c:v>
                </c:pt>
                <c:pt idx="202">
                  <c:v>1662.2376457918481</c:v>
                </c:pt>
                <c:pt idx="203">
                  <c:v>1922.6727536466688</c:v>
                </c:pt>
                <c:pt idx="204">
                  <c:v>2115.7126512443315</c:v>
                </c:pt>
                <c:pt idx="205">
                  <c:v>2117.1761063904123</c:v>
                </c:pt>
                <c:pt idx="206">
                  <c:v>2219.0575481618234</c:v>
                </c:pt>
                <c:pt idx="207">
                  <c:v>2255.7601012435625</c:v>
                </c:pt>
                <c:pt idx="208">
                  <c:v>2124.9184683509748</c:v>
                </c:pt>
                <c:pt idx="209">
                  <c:v>2118.723336522994</c:v>
                </c:pt>
                <c:pt idx="210">
                  <c:v>2165.4309399145559</c:v>
                </c:pt>
                <c:pt idx="211">
                  <c:v>2143.5637442724028</c:v>
                </c:pt>
                <c:pt idx="212">
                  <c:v>2227.006848398265</c:v>
                </c:pt>
                <c:pt idx="213">
                  <c:v>2184.2732194060545</c:v>
                </c:pt>
                <c:pt idx="214">
                  <c:v>2233.3780527864556</c:v>
                </c:pt>
                <c:pt idx="215">
                  <c:v>2196.8859266886175</c:v>
                </c:pt>
                <c:pt idx="216">
                  <c:v>2042.1126866750049</c:v>
                </c:pt>
                <c:pt idx="217">
                  <c:v>2139.7863907462711</c:v>
                </c:pt>
                <c:pt idx="218">
                  <c:v>3328.5410486248411</c:v>
                </c:pt>
                <c:pt idx="219">
                  <c:v>3521.4370041409861</c:v>
                </c:pt>
                <c:pt idx="220">
                  <c:v>4565.3188354385193</c:v>
                </c:pt>
                <c:pt idx="221">
                  <c:v>4455.0253772322194</c:v>
                </c:pt>
                <c:pt idx="222">
                  <c:v>2246.9166020212779</c:v>
                </c:pt>
                <c:pt idx="223">
                  <c:v>3299.5852784038634</c:v>
                </c:pt>
                <c:pt idx="224">
                  <c:v>2214.4636366928462</c:v>
                </c:pt>
                <c:pt idx="225">
                  <c:v>3412.0442634624683</c:v>
                </c:pt>
                <c:pt idx="226">
                  <c:v>3449.7443381013859</c:v>
                </c:pt>
                <c:pt idx="227">
                  <c:v>3515.0103583778259</c:v>
                </c:pt>
                <c:pt idx="228">
                  <c:v>2962.8205907863717</c:v>
                </c:pt>
                <c:pt idx="229">
                  <c:v>2970.5319996575458</c:v>
                </c:pt>
                <c:pt idx="230">
                  <c:v>2932.735667685597</c:v>
                </c:pt>
                <c:pt idx="231">
                  <c:v>1762.6896271209057</c:v>
                </c:pt>
                <c:pt idx="232">
                  <c:v>1762.6896271209057</c:v>
                </c:pt>
                <c:pt idx="233">
                  <c:v>1787.7719571144867</c:v>
                </c:pt>
                <c:pt idx="234">
                  <c:v>2954.8620291416337</c:v>
                </c:pt>
                <c:pt idx="235">
                  <c:v>1783.0566088685559</c:v>
                </c:pt>
                <c:pt idx="236">
                  <c:v>2149.7988957918478</c:v>
                </c:pt>
                <c:pt idx="237">
                  <c:v>528.95341233793397</c:v>
                </c:pt>
                <c:pt idx="238">
                  <c:v>3573.7751433940539</c:v>
                </c:pt>
                <c:pt idx="239">
                  <c:v>3573.139553186109</c:v>
                </c:pt>
                <c:pt idx="240">
                  <c:v>3682.5701713013518</c:v>
                </c:pt>
                <c:pt idx="241">
                  <c:v>3551.6403546075981</c:v>
                </c:pt>
                <c:pt idx="242">
                  <c:v>3504.7229831287627</c:v>
                </c:pt>
                <c:pt idx="243">
                  <c:v>2264.1774373129429</c:v>
                </c:pt>
                <c:pt idx="244">
                  <c:v>2233.0944314043791</c:v>
                </c:pt>
                <c:pt idx="245">
                  <c:v>2153.5327395300374</c:v>
                </c:pt>
                <c:pt idx="246">
                  <c:v>2170.3346164915965</c:v>
                </c:pt>
                <c:pt idx="247">
                  <c:v>2062.3946100404673</c:v>
                </c:pt>
                <c:pt idx="248">
                  <c:v>2128.4647869792061</c:v>
                </c:pt>
                <c:pt idx="249">
                  <c:v>2862.5099942724028</c:v>
                </c:pt>
                <c:pt idx="250">
                  <c:v>2923.7360448934478</c:v>
                </c:pt>
                <c:pt idx="251">
                  <c:v>3116.7626215455421</c:v>
                </c:pt>
                <c:pt idx="252">
                  <c:v>2429.2988512437119</c:v>
                </c:pt>
                <c:pt idx="253">
                  <c:v>1436.3420579105814</c:v>
                </c:pt>
                <c:pt idx="254">
                  <c:v>1546.4698248101963</c:v>
                </c:pt>
                <c:pt idx="255">
                  <c:v>1607.1150049258395</c:v>
                </c:pt>
                <c:pt idx="256">
                  <c:v>1421.0649090295547</c:v>
                </c:pt>
                <c:pt idx="257">
                  <c:v>3429.2778529123029</c:v>
                </c:pt>
                <c:pt idx="258">
                  <c:v>3505.390309262561</c:v>
                </c:pt>
                <c:pt idx="259">
                  <c:v>2219.0830907863719</c:v>
                </c:pt>
                <c:pt idx="260">
                  <c:v>3245.312444972441</c:v>
                </c:pt>
                <c:pt idx="261">
                  <c:v>2051.7528390930252</c:v>
                </c:pt>
                <c:pt idx="262">
                  <c:v>2056.1806914391746</c:v>
                </c:pt>
                <c:pt idx="263">
                  <c:v>1916.9726780696069</c:v>
                </c:pt>
                <c:pt idx="264">
                  <c:v>2017.9750295970525</c:v>
                </c:pt>
                <c:pt idx="265">
                  <c:v>2365.6900920796629</c:v>
                </c:pt>
                <c:pt idx="266">
                  <c:v>3145.3217558576048</c:v>
                </c:pt>
                <c:pt idx="267">
                  <c:v>2295.3584092546603</c:v>
                </c:pt>
                <c:pt idx="268">
                  <c:v>2442.1468302259786</c:v>
                </c:pt>
                <c:pt idx="269">
                  <c:v>3275.7994878250606</c:v>
                </c:pt>
                <c:pt idx="270">
                  <c:v>3453.8468743701837</c:v>
                </c:pt>
                <c:pt idx="271">
                  <c:v>3556.5610454377661</c:v>
                </c:pt>
                <c:pt idx="272">
                  <c:v>3647.5670652571403</c:v>
                </c:pt>
                <c:pt idx="273">
                  <c:v>3927.0216535094382</c:v>
                </c:pt>
                <c:pt idx="274">
                  <c:v>4022.6686734008836</c:v>
                </c:pt>
                <c:pt idx="275">
                  <c:v>4211.0621495489249</c:v>
                </c:pt>
                <c:pt idx="276">
                  <c:v>4008.8036305451969</c:v>
                </c:pt>
                <c:pt idx="277">
                  <c:v>3971.473881124356</c:v>
                </c:pt>
                <c:pt idx="278">
                  <c:v>3915.3474143284388</c:v>
                </c:pt>
                <c:pt idx="279">
                  <c:v>3969.6654365189506</c:v>
                </c:pt>
                <c:pt idx="280">
                  <c:v>3976.1958511268112</c:v>
                </c:pt>
                <c:pt idx="281">
                  <c:v>3999.6633736019267</c:v>
                </c:pt>
                <c:pt idx="282">
                  <c:v>4007.0124444741605</c:v>
                </c:pt>
                <c:pt idx="283">
                  <c:v>4073.1242661109645</c:v>
                </c:pt>
                <c:pt idx="284">
                  <c:v>3923.233987686699</c:v>
                </c:pt>
                <c:pt idx="285">
                  <c:v>3881.5771865718989</c:v>
                </c:pt>
                <c:pt idx="286">
                  <c:v>1961.6065833181656</c:v>
                </c:pt>
                <c:pt idx="287">
                  <c:v>2341.8540134206423</c:v>
                </c:pt>
                <c:pt idx="288">
                  <c:v>2141.2615578249797</c:v>
                </c:pt>
                <c:pt idx="289">
                  <c:v>2211.6736844998004</c:v>
                </c:pt>
                <c:pt idx="290">
                  <c:v>2156.2473079739411</c:v>
                </c:pt>
                <c:pt idx="291">
                  <c:v>1543.9465630460727</c:v>
                </c:pt>
                <c:pt idx="292">
                  <c:v>3918.1825741452699</c:v>
                </c:pt>
                <c:pt idx="293">
                  <c:v>3857.6489909443462</c:v>
                </c:pt>
                <c:pt idx="294">
                  <c:v>3988.0069826841627</c:v>
                </c:pt>
                <c:pt idx="295">
                  <c:v>3901.0099103270095</c:v>
                </c:pt>
                <c:pt idx="296">
                  <c:v>3959.4246305751403</c:v>
                </c:pt>
                <c:pt idx="297">
                  <c:v>3769.2914948543666</c:v>
                </c:pt>
                <c:pt idx="298">
                  <c:v>3784.3476788791386</c:v>
                </c:pt>
                <c:pt idx="299">
                  <c:v>3621.8096785218427</c:v>
                </c:pt>
                <c:pt idx="300">
                  <c:v>3513.5710949756408</c:v>
                </c:pt>
                <c:pt idx="301">
                  <c:v>3727.700092612235</c:v>
                </c:pt>
                <c:pt idx="302">
                  <c:v>3739.1804184040598</c:v>
                </c:pt>
                <c:pt idx="303">
                  <c:v>3696.019810500306</c:v>
                </c:pt>
                <c:pt idx="304">
                  <c:v>2267.1441457918481</c:v>
                </c:pt>
                <c:pt idx="305">
                  <c:v>2314.2311766886178</c:v>
                </c:pt>
                <c:pt idx="306">
                  <c:v>2270.2654995943785</c:v>
                </c:pt>
                <c:pt idx="307">
                  <c:v>2366.0802469191822</c:v>
                </c:pt>
                <c:pt idx="308">
                  <c:v>2303.3988502391703</c:v>
                </c:pt>
                <c:pt idx="309">
                  <c:v>2244.4871486740149</c:v>
                </c:pt>
                <c:pt idx="310">
                  <c:v>2449.7937442927596</c:v>
                </c:pt>
                <c:pt idx="311">
                  <c:v>2188.1469859548956</c:v>
                </c:pt>
                <c:pt idx="312">
                  <c:v>2289.1763626353659</c:v>
                </c:pt>
                <c:pt idx="313">
                  <c:v>2306.2094635174426</c:v>
                </c:pt>
                <c:pt idx="314">
                  <c:v>2422.9162304598494</c:v>
                </c:pt>
                <c:pt idx="315">
                  <c:v>2356.388855675571</c:v>
                </c:pt>
                <c:pt idx="316">
                  <c:v>2286.2314887929751</c:v>
                </c:pt>
                <c:pt idx="317">
                  <c:v>2426.5691081153109</c:v>
                </c:pt>
                <c:pt idx="318">
                  <c:v>2278.5194505224863</c:v>
                </c:pt>
                <c:pt idx="319">
                  <c:v>2381.0078049273661</c:v>
                </c:pt>
                <c:pt idx="320">
                  <c:v>2384.3393400735167</c:v>
                </c:pt>
                <c:pt idx="321">
                  <c:v>2358.1204887825024</c:v>
                </c:pt>
                <c:pt idx="322">
                  <c:v>2422.7206910565847</c:v>
                </c:pt>
                <c:pt idx="323">
                  <c:v>2386.9032887314124</c:v>
                </c:pt>
                <c:pt idx="324">
                  <c:v>2379.8907211975738</c:v>
                </c:pt>
                <c:pt idx="325">
                  <c:v>2262.9181987232505</c:v>
                </c:pt>
                <c:pt idx="326">
                  <c:v>2411.3411419329377</c:v>
                </c:pt>
                <c:pt idx="327">
                  <c:v>2288.087766770358</c:v>
                </c:pt>
                <c:pt idx="328">
                  <c:v>2488.3628905977157</c:v>
                </c:pt>
                <c:pt idx="329">
                  <c:v>2277.7790950004246</c:v>
                </c:pt>
                <c:pt idx="330">
                  <c:v>2360.5075225335422</c:v>
                </c:pt>
                <c:pt idx="331">
                  <c:v>2463.3161739675406</c:v>
                </c:pt>
                <c:pt idx="332">
                  <c:v>2383.3498778791791</c:v>
                </c:pt>
                <c:pt idx="333">
                  <c:v>2359.9660779806427</c:v>
                </c:pt>
                <c:pt idx="334">
                  <c:v>2319.204362827134</c:v>
                </c:pt>
                <c:pt idx="335">
                  <c:v>2295.3275029005072</c:v>
                </c:pt>
                <c:pt idx="336">
                  <c:v>2294.0412335568799</c:v>
                </c:pt>
                <c:pt idx="337">
                  <c:v>2309.8035495367885</c:v>
                </c:pt>
                <c:pt idx="338">
                  <c:v>2336.9065251290222</c:v>
                </c:pt>
                <c:pt idx="339">
                  <c:v>2363.653704330929</c:v>
                </c:pt>
                <c:pt idx="340">
                  <c:v>2328.3767545493865</c:v>
                </c:pt>
                <c:pt idx="341">
                  <c:v>2287.4781586986201</c:v>
                </c:pt>
                <c:pt idx="342">
                  <c:v>2271.8271226558236</c:v>
                </c:pt>
                <c:pt idx="343">
                  <c:v>2430.5203603623586</c:v>
                </c:pt>
                <c:pt idx="344">
                  <c:v>2257.795189032895</c:v>
                </c:pt>
                <c:pt idx="345">
                  <c:v>2328.643267047687</c:v>
                </c:pt>
                <c:pt idx="346">
                  <c:v>2284.3428774802233</c:v>
                </c:pt>
                <c:pt idx="347">
                  <c:v>2314.2311766886178</c:v>
                </c:pt>
                <c:pt idx="348">
                  <c:v>3554.2467936354283</c:v>
                </c:pt>
                <c:pt idx="349">
                  <c:v>3521.513258746329</c:v>
                </c:pt>
                <c:pt idx="350">
                  <c:v>3620.0114478289852</c:v>
                </c:pt>
                <c:pt idx="351">
                  <c:v>3811.0584573491651</c:v>
                </c:pt>
                <c:pt idx="352">
                  <c:v>3877.1462120529559</c:v>
                </c:pt>
                <c:pt idx="353">
                  <c:v>3708.8447733188</c:v>
                </c:pt>
                <c:pt idx="354">
                  <c:v>3601.9717397283066</c:v>
                </c:pt>
                <c:pt idx="355">
                  <c:v>3742.1964816107884</c:v>
                </c:pt>
                <c:pt idx="356">
                  <c:v>3604.5517853720012</c:v>
                </c:pt>
                <c:pt idx="357">
                  <c:v>3760.671427844964</c:v>
                </c:pt>
                <c:pt idx="358">
                  <c:v>3783.7801689694352</c:v>
                </c:pt>
                <c:pt idx="359">
                  <c:v>3880.5206580793474</c:v>
                </c:pt>
                <c:pt idx="360">
                  <c:v>1313.2233366386686</c:v>
                </c:pt>
                <c:pt idx="361">
                  <c:v>1333.9946918631695</c:v>
                </c:pt>
                <c:pt idx="362">
                  <c:v>1482.6262464658366</c:v>
                </c:pt>
                <c:pt idx="363">
                  <c:v>3724.5510863009367</c:v>
                </c:pt>
                <c:pt idx="364">
                  <c:v>3790.8458526921436</c:v>
                </c:pt>
                <c:pt idx="365">
                  <c:v>3672.8576127268252</c:v>
                </c:pt>
                <c:pt idx="366">
                  <c:v>3659.8536549259479</c:v>
                </c:pt>
                <c:pt idx="367">
                  <c:v>3462.351931545616</c:v>
                </c:pt>
                <c:pt idx="368">
                  <c:v>3585.1091941785962</c:v>
                </c:pt>
                <c:pt idx="369">
                  <c:v>3534.1754232766548</c:v>
                </c:pt>
                <c:pt idx="370">
                  <c:v>3598.6977115709929</c:v>
                </c:pt>
                <c:pt idx="371">
                  <c:v>2189.9196196485887</c:v>
                </c:pt>
                <c:pt idx="372">
                  <c:v>2191.449048624841</c:v>
                </c:pt>
                <c:pt idx="373">
                  <c:v>2281.2101370750524</c:v>
                </c:pt>
                <c:pt idx="374">
                  <c:v>2240.7140027761379</c:v>
                </c:pt>
                <c:pt idx="375">
                  <c:v>2334.8148938416198</c:v>
                </c:pt>
                <c:pt idx="376">
                  <c:v>2282.7761899145562</c:v>
                </c:pt>
                <c:pt idx="377">
                  <c:v>2282.7761899145562</c:v>
                </c:pt>
                <c:pt idx="378">
                  <c:v>2849.3889870895287</c:v>
                </c:pt>
                <c:pt idx="379">
                  <c:v>3280.2285912033808</c:v>
                </c:pt>
                <c:pt idx="380">
                  <c:v>3347.0896923102209</c:v>
                </c:pt>
                <c:pt idx="381">
                  <c:v>2492.822609642596</c:v>
                </c:pt>
                <c:pt idx="382">
                  <c:v>2650.6659894840268</c:v>
                </c:pt>
                <c:pt idx="383">
                  <c:v>2668.0141178046451</c:v>
                </c:pt>
                <c:pt idx="384">
                  <c:v>2440.5386859407608</c:v>
                </c:pt>
                <c:pt idx="385">
                  <c:v>2404.9618372067371</c:v>
                </c:pt>
                <c:pt idx="386">
                  <c:v>2254.6838924727308</c:v>
                </c:pt>
                <c:pt idx="387">
                  <c:v>1284.5300319581734</c:v>
                </c:pt>
                <c:pt idx="388">
                  <c:v>1351.5111091393733</c:v>
                </c:pt>
                <c:pt idx="389">
                  <c:v>1516.3859328777626</c:v>
                </c:pt>
                <c:pt idx="390">
                  <c:v>1472.096707114385</c:v>
                </c:pt>
                <c:pt idx="391">
                  <c:v>4305.6261781776557</c:v>
                </c:pt>
                <c:pt idx="392">
                  <c:v>4329.1475498893742</c:v>
                </c:pt>
                <c:pt idx="393">
                  <c:v>4566.2141680352797</c:v>
                </c:pt>
                <c:pt idx="394">
                  <c:v>4395.635143921967</c:v>
                </c:pt>
                <c:pt idx="395">
                  <c:v>4625.9038258814135</c:v>
                </c:pt>
                <c:pt idx="396">
                  <c:v>4846.3824385579328</c:v>
                </c:pt>
                <c:pt idx="397">
                  <c:v>4937.5281054854422</c:v>
                </c:pt>
                <c:pt idx="398">
                  <c:v>3868.3737040111851</c:v>
                </c:pt>
                <c:pt idx="399">
                  <c:v>2105.1481402737591</c:v>
                </c:pt>
                <c:pt idx="400">
                  <c:v>2044.8544586986518</c:v>
                </c:pt>
                <c:pt idx="401">
                  <c:v>1985.1097002491633</c:v>
                </c:pt>
                <c:pt idx="402">
                  <c:v>1974.1517634624679</c:v>
                </c:pt>
                <c:pt idx="403">
                  <c:v>2002.3923110367959</c:v>
                </c:pt>
                <c:pt idx="404">
                  <c:v>1489.4356596427151</c:v>
                </c:pt>
                <c:pt idx="405">
                  <c:v>1479.9684176853998</c:v>
                </c:pt>
                <c:pt idx="406">
                  <c:v>3713.0674844372766</c:v>
                </c:pt>
                <c:pt idx="407">
                  <c:v>3762.7787600452389</c:v>
                </c:pt>
                <c:pt idx="408">
                  <c:v>3652.822962642676</c:v>
                </c:pt>
                <c:pt idx="409">
                  <c:v>3348.4790727308259</c:v>
                </c:pt>
                <c:pt idx="410">
                  <c:v>3593.0458724880223</c:v>
                </c:pt>
                <c:pt idx="411">
                  <c:v>3471.9068938416199</c:v>
                </c:pt>
                <c:pt idx="412">
                  <c:v>3634.4666698462584</c:v>
                </c:pt>
                <c:pt idx="413">
                  <c:v>3512.8726503941821</c:v>
                </c:pt>
                <c:pt idx="414">
                  <c:v>3521.9605580359507</c:v>
                </c:pt>
                <c:pt idx="415">
                  <c:v>3617.5235854222833</c:v>
                </c:pt>
                <c:pt idx="416">
                  <c:v>3580.3587860767234</c:v>
                </c:pt>
                <c:pt idx="417">
                  <c:v>3565.2406674800891</c:v>
                </c:pt>
                <c:pt idx="418">
                  <c:v>3610.9682990337146</c:v>
                </c:pt>
                <c:pt idx="419">
                  <c:v>1286.948578811875</c:v>
                </c:pt>
                <c:pt idx="420">
                  <c:v>1098.7825691956764</c:v>
                </c:pt>
                <c:pt idx="421">
                  <c:v>3617.5217918738335</c:v>
                </c:pt>
                <c:pt idx="422">
                  <c:v>3634.5216520386693</c:v>
                </c:pt>
                <c:pt idx="423">
                  <c:v>3741.2382633074531</c:v>
                </c:pt>
                <c:pt idx="424">
                  <c:v>3829.7016690950718</c:v>
                </c:pt>
                <c:pt idx="425">
                  <c:v>3640.0599935582763</c:v>
                </c:pt>
                <c:pt idx="426">
                  <c:v>3789.1654248679015</c:v>
                </c:pt>
                <c:pt idx="427">
                  <c:v>3831.974792381342</c:v>
                </c:pt>
                <c:pt idx="428">
                  <c:v>3774.2697535340158</c:v>
                </c:pt>
                <c:pt idx="429">
                  <c:v>4045.9351516349248</c:v>
                </c:pt>
                <c:pt idx="430">
                  <c:v>5106.3429006623792</c:v>
                </c:pt>
                <c:pt idx="431">
                  <c:v>4813.4615055201184</c:v>
                </c:pt>
                <c:pt idx="432">
                  <c:v>4040.9483152815251</c:v>
                </c:pt>
                <c:pt idx="433">
                  <c:v>4025.4891037407001</c:v>
                </c:pt>
                <c:pt idx="434">
                  <c:v>4012.001499080729</c:v>
                </c:pt>
                <c:pt idx="435">
                  <c:v>4039.1741544617767</c:v>
                </c:pt>
                <c:pt idx="436">
                  <c:v>4105.2396364368433</c:v>
                </c:pt>
                <c:pt idx="437">
                  <c:v>3950.7997079612173</c:v>
                </c:pt>
                <c:pt idx="438">
                  <c:v>3961.8193044763807</c:v>
                </c:pt>
                <c:pt idx="439">
                  <c:v>2298.471707114385</c:v>
                </c:pt>
                <c:pt idx="440">
                  <c:v>4156.1713277855997</c:v>
                </c:pt>
                <c:pt idx="441">
                  <c:v>3073.7925834177136</c:v>
                </c:pt>
                <c:pt idx="442">
                  <c:v>3115.2398417998743</c:v>
                </c:pt>
                <c:pt idx="443">
                  <c:v>3199.7354220593602</c:v>
                </c:pt>
                <c:pt idx="444">
                  <c:v>3136.9874467872783</c:v>
                </c:pt>
                <c:pt idx="445">
                  <c:v>2984.4515027761377</c:v>
                </c:pt>
                <c:pt idx="446">
                  <c:v>3010.8816457918479</c:v>
                </c:pt>
                <c:pt idx="447">
                  <c:v>3079.2719164918767</c:v>
                </c:pt>
                <c:pt idx="448">
                  <c:v>3091.2738911332549</c:v>
                </c:pt>
                <c:pt idx="449">
                  <c:v>3051.6571836719099</c:v>
                </c:pt>
                <c:pt idx="450">
                  <c:v>3116.8516886656048</c:v>
                </c:pt>
                <c:pt idx="451">
                  <c:v>3050.0809176853995</c:v>
                </c:pt>
                <c:pt idx="452">
                  <c:v>3123.2615220558905</c:v>
                </c:pt>
                <c:pt idx="453">
                  <c:v>2956.6625478039573</c:v>
                </c:pt>
                <c:pt idx="454">
                  <c:v>3102.4395659612014</c:v>
                </c:pt>
                <c:pt idx="455">
                  <c:v>3054.8116433940536</c:v>
                </c:pt>
                <c:pt idx="456">
                  <c:v>3104.0372913038423</c:v>
                </c:pt>
                <c:pt idx="457">
                  <c:v>2987.5515564411257</c:v>
                </c:pt>
                <c:pt idx="458">
                  <c:v>3099.2460894915371</c:v>
                </c:pt>
                <c:pt idx="459">
                  <c:v>3078.5523938416195</c:v>
                </c:pt>
                <c:pt idx="460">
                  <c:v>3316.3225900308189</c:v>
                </c:pt>
                <c:pt idx="461">
                  <c:v>3354.6346577297722</c:v>
                </c:pt>
                <c:pt idx="462">
                  <c:v>3429.2778529123029</c:v>
                </c:pt>
                <c:pt idx="463">
                  <c:v>3469.7224909858301</c:v>
                </c:pt>
                <c:pt idx="464">
                  <c:v>3465.5617791418622</c:v>
                </c:pt>
                <c:pt idx="465">
                  <c:v>3460.8097570107871</c:v>
                </c:pt>
                <c:pt idx="466">
                  <c:v>3399.5588388178544</c:v>
                </c:pt>
                <c:pt idx="467">
                  <c:v>3421.4348774801606</c:v>
                </c:pt>
                <c:pt idx="468">
                  <c:v>631.46488985499673</c:v>
                </c:pt>
                <c:pt idx="469">
                  <c:v>1405.5900983982651</c:v>
                </c:pt>
                <c:pt idx="470">
                  <c:v>3858.8419060376004</c:v>
                </c:pt>
                <c:pt idx="471">
                  <c:v>2142.8062397091153</c:v>
                </c:pt>
                <c:pt idx="472">
                  <c:v>2142.8062397091153</c:v>
                </c:pt>
                <c:pt idx="473">
                  <c:v>1739.4455983982652</c:v>
                </c:pt>
                <c:pt idx="474">
                  <c:v>3426.138753306514</c:v>
                </c:pt>
                <c:pt idx="475">
                  <c:v>3563.4715642332808</c:v>
                </c:pt>
                <c:pt idx="476">
                  <c:v>3479.8529328777627</c:v>
                </c:pt>
                <c:pt idx="477">
                  <c:v>3513.4053590229255</c:v>
                </c:pt>
                <c:pt idx="478">
                  <c:v>3471.9068938414944</c:v>
                </c:pt>
                <c:pt idx="479">
                  <c:v>3510.1973512437121</c:v>
                </c:pt>
                <c:pt idx="480">
                  <c:v>3430.8483588671611</c:v>
                </c:pt>
                <c:pt idx="481">
                  <c:v>3399.5588388178544</c:v>
                </c:pt>
                <c:pt idx="482">
                  <c:v>3459.2270448934482</c:v>
                </c:pt>
                <c:pt idx="483">
                  <c:v>2293.7563588688563</c:v>
                </c:pt>
                <c:pt idx="484">
                  <c:v>1240.7239221012333</c:v>
                </c:pt>
                <c:pt idx="485">
                  <c:v>984.01371036164574</c:v>
                </c:pt>
                <c:pt idx="486">
                  <c:v>1361.1793037417183</c:v>
                </c:pt>
                <c:pt idx="487">
                  <c:v>1402.2446202971055</c:v>
                </c:pt>
                <c:pt idx="488">
                  <c:v>1536.8368065280124</c:v>
                </c:pt>
                <c:pt idx="489">
                  <c:v>1483.044384576895</c:v>
                </c:pt>
                <c:pt idx="490">
                  <c:v>1480.9074302259787</c:v>
                </c:pt>
                <c:pt idx="491">
                  <c:v>1472.0720944256582</c:v>
                </c:pt>
                <c:pt idx="492">
                  <c:v>1455.4885113088226</c:v>
                </c:pt>
                <c:pt idx="493">
                  <c:v>1365.2195995943785</c:v>
                </c:pt>
                <c:pt idx="494">
                  <c:v>1344.0186424727308</c:v>
                </c:pt>
                <c:pt idx="495">
                  <c:v>1395.6781676853998</c:v>
                </c:pt>
                <c:pt idx="496">
                  <c:v>1396.484861560114</c:v>
                </c:pt>
                <c:pt idx="497">
                  <c:v>1423.200002786456</c:v>
                </c:pt>
                <c:pt idx="498">
                  <c:v>3150.6599433269071</c:v>
                </c:pt>
                <c:pt idx="499">
                  <c:v>3137.7424741859227</c:v>
                </c:pt>
                <c:pt idx="500">
                  <c:v>3965.7100643840122</c:v>
                </c:pt>
                <c:pt idx="501">
                  <c:v>4341.0681843501216</c:v>
                </c:pt>
                <c:pt idx="502">
                  <c:v>4281.7123545423819</c:v>
                </c:pt>
                <c:pt idx="503">
                  <c:v>4303.6917497510431</c:v>
                </c:pt>
                <c:pt idx="504">
                  <c:v>4126.3587557409592</c:v>
                </c:pt>
                <c:pt idx="505">
                  <c:v>4119.5333136419849</c:v>
                </c:pt>
                <c:pt idx="506">
                  <c:v>4112.5929547708802</c:v>
                </c:pt>
                <c:pt idx="507">
                  <c:v>4293.6187769754115</c:v>
                </c:pt>
                <c:pt idx="508">
                  <c:v>4196.9861020098979</c:v>
                </c:pt>
                <c:pt idx="509">
                  <c:v>4185.7119397145116</c:v>
                </c:pt>
                <c:pt idx="510">
                  <c:v>4240.9242307373079</c:v>
                </c:pt>
                <c:pt idx="511">
                  <c:v>4150.5393276901559</c:v>
                </c:pt>
                <c:pt idx="512">
                  <c:v>4324.6957651120956</c:v>
                </c:pt>
                <c:pt idx="513">
                  <c:v>4192.7752492357085</c:v>
                </c:pt>
                <c:pt idx="514">
                  <c:v>4179.1026739674144</c:v>
                </c:pt>
                <c:pt idx="515">
                  <c:v>4068.9987247727108</c:v>
                </c:pt>
                <c:pt idx="516">
                  <c:v>4272.2315065020284</c:v>
                </c:pt>
                <c:pt idx="517">
                  <c:v>2760.3356713013518</c:v>
                </c:pt>
                <c:pt idx="518">
                  <c:v>2777.2028643856875</c:v>
                </c:pt>
                <c:pt idx="519">
                  <c:v>2833.3867073728998</c:v>
                </c:pt>
                <c:pt idx="520">
                  <c:v>2792.4458481981337</c:v>
                </c:pt>
                <c:pt idx="521">
                  <c:v>3184.7741069238523</c:v>
                </c:pt>
                <c:pt idx="522">
                  <c:v>3769.1424877353206</c:v>
                </c:pt>
                <c:pt idx="523">
                  <c:v>2147.5991034096578</c:v>
                </c:pt>
                <c:pt idx="524">
                  <c:v>2185.0770585732753</c:v>
                </c:pt>
                <c:pt idx="525">
                  <c:v>2234.0680241197042</c:v>
                </c:pt>
                <c:pt idx="526">
                  <c:v>2223.9724682081969</c:v>
                </c:pt>
                <c:pt idx="527">
                  <c:v>2211.5586067266213</c:v>
                </c:pt>
                <c:pt idx="528">
                  <c:v>2266.4595505509496</c:v>
                </c:pt>
                <c:pt idx="529">
                  <c:v>2141.9506697496149</c:v>
                </c:pt>
                <c:pt idx="530">
                  <c:v>2141.5607004453527</c:v>
                </c:pt>
                <c:pt idx="531">
                  <c:v>2336.5360695671734</c:v>
                </c:pt>
                <c:pt idx="532">
                  <c:v>2259.8532520686781</c:v>
                </c:pt>
                <c:pt idx="533">
                  <c:v>2315.5749086986198</c:v>
                </c:pt>
                <c:pt idx="534">
                  <c:v>2255.3382898500367</c:v>
                </c:pt>
                <c:pt idx="535">
                  <c:v>2212.9466900307871</c:v>
                </c:pt>
                <c:pt idx="536">
                  <c:v>2159.2463123298094</c:v>
                </c:pt>
                <c:pt idx="537">
                  <c:v>2249.6015005509494</c:v>
                </c:pt>
                <c:pt idx="538">
                  <c:v>2239.4645295880132</c:v>
                </c:pt>
                <c:pt idx="539">
                  <c:v>1431.6626766886179</c:v>
                </c:pt>
                <c:pt idx="540">
                  <c:v>1456.1426588685558</c:v>
                </c:pt>
                <c:pt idx="541">
                  <c:v>1345.8873065812222</c:v>
                </c:pt>
                <c:pt idx="542">
                  <c:v>1339.9364967958004</c:v>
                </c:pt>
                <c:pt idx="543">
                  <c:v>4140.7009426224931</c:v>
                </c:pt>
                <c:pt idx="544">
                  <c:v>3654.5483974144695</c:v>
                </c:pt>
                <c:pt idx="545">
                  <c:v>3787.6126266212409</c:v>
                </c:pt>
                <c:pt idx="546">
                  <c:v>3732.9051883468915</c:v>
                </c:pt>
                <c:pt idx="547">
                  <c:v>3685.6561766936661</c:v>
                </c:pt>
                <c:pt idx="548">
                  <c:v>3712.5855941695577</c:v>
                </c:pt>
                <c:pt idx="549">
                  <c:v>3717.6555961531553</c:v>
                </c:pt>
                <c:pt idx="550">
                  <c:v>3768.72055958806</c:v>
                </c:pt>
                <c:pt idx="551">
                  <c:v>3610.8989464302635</c:v>
                </c:pt>
                <c:pt idx="552">
                  <c:v>3719.3470598139543</c:v>
                </c:pt>
                <c:pt idx="553">
                  <c:v>3543.4284566049791</c:v>
                </c:pt>
                <c:pt idx="554">
                  <c:v>3566.970514494999</c:v>
                </c:pt>
                <c:pt idx="555">
                  <c:v>3555.6039389490675</c:v>
                </c:pt>
                <c:pt idx="556">
                  <c:v>1372.8710030829488</c:v>
                </c:pt>
                <c:pt idx="557">
                  <c:v>1353.3836291738535</c:v>
                </c:pt>
                <c:pt idx="558">
                  <c:v>1499.6731432272973</c:v>
                </c:pt>
                <c:pt idx="559">
                  <c:v>1453.3578887625977</c:v>
                </c:pt>
                <c:pt idx="560">
                  <c:v>1498.1203104389861</c:v>
                </c:pt>
                <c:pt idx="561">
                  <c:v>2268.164573107792</c:v>
                </c:pt>
                <c:pt idx="562">
                  <c:v>2236.3944730570788</c:v>
                </c:pt>
                <c:pt idx="563">
                  <c:v>2206.5977819292598</c:v>
                </c:pt>
                <c:pt idx="564">
                  <c:v>1361.2455564411262</c:v>
                </c:pt>
                <c:pt idx="565">
                  <c:v>1404.5686851522787</c:v>
                </c:pt>
                <c:pt idx="566">
                  <c:v>3452.7224521555509</c:v>
                </c:pt>
                <c:pt idx="567">
                  <c:v>3525.4486944256582</c:v>
                </c:pt>
                <c:pt idx="568">
                  <c:v>3510.1973512435629</c:v>
                </c:pt>
                <c:pt idx="569">
                  <c:v>3561.8464105471753</c:v>
                </c:pt>
                <c:pt idx="570">
                  <c:v>3462.393116430419</c:v>
                </c:pt>
                <c:pt idx="571">
                  <c:v>3115.2398417998743</c:v>
                </c:pt>
                <c:pt idx="572">
                  <c:v>3113.6374946421561</c:v>
                </c:pt>
                <c:pt idx="573">
                  <c:v>1631.938213748334</c:v>
                </c:pt>
                <c:pt idx="574">
                  <c:v>3026.5136899145559</c:v>
                </c:pt>
                <c:pt idx="575">
                  <c:v>1633.4034316936195</c:v>
                </c:pt>
                <c:pt idx="576">
                  <c:v>1563.6989098274857</c:v>
                </c:pt>
                <c:pt idx="577">
                  <c:v>1591.1384019606548</c:v>
                </c:pt>
                <c:pt idx="578">
                  <c:v>1689.5012861329228</c:v>
                </c:pt>
                <c:pt idx="579">
                  <c:v>1757.0117558576048</c:v>
                </c:pt>
                <c:pt idx="580">
                  <c:v>3517.4203734816406</c:v>
                </c:pt>
                <c:pt idx="581">
                  <c:v>3376.9068198563264</c:v>
                </c:pt>
                <c:pt idx="582">
                  <c:v>3634.0034580322149</c:v>
                </c:pt>
                <c:pt idx="583">
                  <c:v>3709.2092444507512</c:v>
                </c:pt>
                <c:pt idx="584">
                  <c:v>2186.8625824777382</c:v>
                </c:pt>
                <c:pt idx="585">
                  <c:v>3426.1387533063876</c:v>
                </c:pt>
                <c:pt idx="586">
                  <c:v>2174.6586457335557</c:v>
                </c:pt>
                <c:pt idx="587">
                  <c:v>3508.5943417998747</c:v>
                </c:pt>
                <c:pt idx="588">
                  <c:v>1389.2586226558237</c:v>
                </c:pt>
                <c:pt idx="589">
                  <c:v>1414.3307854888849</c:v>
                </c:pt>
                <c:pt idx="590">
                  <c:v>1504.9938231946803</c:v>
                </c:pt>
                <c:pt idx="591">
                  <c:v>1431.6626766886179</c:v>
                </c:pt>
                <c:pt idx="592">
                  <c:v>1431.6626766886179</c:v>
                </c:pt>
                <c:pt idx="593">
                  <c:v>1406.4782533063876</c:v>
                </c:pt>
                <c:pt idx="594">
                  <c:v>1420.6243110368282</c:v>
                </c:pt>
                <c:pt idx="595">
                  <c:v>2200.6383960726162</c:v>
                </c:pt>
                <c:pt idx="596">
                  <c:v>3150.3399362420951</c:v>
                </c:pt>
                <c:pt idx="597">
                  <c:v>2251.5751008520529</c:v>
                </c:pt>
                <c:pt idx="598">
                  <c:v>3074.7463911332552</c:v>
                </c:pt>
                <c:pt idx="599">
                  <c:v>2232.9747464658367</c:v>
                </c:pt>
                <c:pt idx="600">
                  <c:v>2159.4579366750522</c:v>
                </c:pt>
                <c:pt idx="601">
                  <c:v>3552.8698863039003</c:v>
                </c:pt>
                <c:pt idx="602">
                  <c:v>3423.0022002491637</c:v>
                </c:pt>
                <c:pt idx="603">
                  <c:v>3660.5774810427351</c:v>
                </c:pt>
                <c:pt idx="604">
                  <c:v>2205.2413015415309</c:v>
                </c:pt>
                <c:pt idx="605">
                  <c:v>2059.1354388018162</c:v>
                </c:pt>
                <c:pt idx="606">
                  <c:v>2231.428756289868</c:v>
                </c:pt>
                <c:pt idx="607">
                  <c:v>1631.869092079663</c:v>
                </c:pt>
                <c:pt idx="608">
                  <c:v>3130.0778428927265</c:v>
                </c:pt>
                <c:pt idx="609">
                  <c:v>3112.0358092629554</c:v>
                </c:pt>
                <c:pt idx="610">
                  <c:v>1689.5012861330729</c:v>
                </c:pt>
                <c:pt idx="611">
                  <c:v>2984.4515027763114</c:v>
                </c:pt>
                <c:pt idx="612">
                  <c:v>2618.2394988581855</c:v>
                </c:pt>
                <c:pt idx="613">
                  <c:v>2215.2839037561944</c:v>
                </c:pt>
                <c:pt idx="614">
                  <c:v>2284.9563704083848</c:v>
                </c:pt>
                <c:pt idx="615">
                  <c:v>3016.3871753899502</c:v>
                </c:pt>
                <c:pt idx="616">
                  <c:v>2153.3944288808666</c:v>
                </c:pt>
                <c:pt idx="617">
                  <c:v>2159.4579366750049</c:v>
                </c:pt>
                <c:pt idx="618">
                  <c:v>1031.2644803512303</c:v>
                </c:pt>
                <c:pt idx="619">
                  <c:v>3245.3566922144419</c:v>
                </c:pt>
                <c:pt idx="620">
                  <c:v>3510.77899929451</c:v>
                </c:pt>
                <c:pt idx="621">
                  <c:v>3669.736853987587</c:v>
                </c:pt>
                <c:pt idx="622">
                  <c:v>3772.3073748679012</c:v>
                </c:pt>
                <c:pt idx="623">
                  <c:v>1313.4724824684899</c:v>
                </c:pt>
                <c:pt idx="624">
                  <c:v>1320.6236942106052</c:v>
                </c:pt>
                <c:pt idx="625">
                  <c:v>1500.5101236436403</c:v>
                </c:pt>
                <c:pt idx="626">
                  <c:v>1695.4442869792065</c:v>
                </c:pt>
                <c:pt idx="627">
                  <c:v>1720.5122395300377</c:v>
                </c:pt>
                <c:pt idx="628">
                  <c:v>2186.0278053370657</c:v>
                </c:pt>
                <c:pt idx="629">
                  <c:v>2338.2759148281743</c:v>
                </c:pt>
                <c:pt idx="630">
                  <c:v>2381.1303505678534</c:v>
                </c:pt>
                <c:pt idx="631">
                  <c:v>1647.6736164304034</c:v>
                </c:pt>
                <c:pt idx="632">
                  <c:v>1681.074565961178</c:v>
                </c:pt>
                <c:pt idx="633">
                  <c:v>1673.0958027864558</c:v>
                </c:pt>
                <c:pt idx="634">
                  <c:v>1693.8748417998745</c:v>
                </c:pt>
                <c:pt idx="635">
                  <c:v>1719.6028143678636</c:v>
                </c:pt>
                <c:pt idx="636">
                  <c:v>1692.2724946421563</c:v>
                </c:pt>
                <c:pt idx="637">
                  <c:v>1591.0770074634834</c:v>
                </c:pt>
                <c:pt idx="638">
                  <c:v>3116.8428512437117</c:v>
                </c:pt>
                <c:pt idx="639">
                  <c:v>2202.851548595926</c:v>
                </c:pt>
                <c:pt idx="640">
                  <c:v>2267.1441457918481</c:v>
                </c:pt>
                <c:pt idx="641">
                  <c:v>2191.449048624841</c:v>
                </c:pt>
                <c:pt idx="642">
                  <c:v>2258.6374829908782</c:v>
                </c:pt>
                <c:pt idx="643">
                  <c:v>3420.4693162610442</c:v>
                </c:pt>
                <c:pt idx="644">
                  <c:v>3497.7402077999209</c:v>
                </c:pt>
                <c:pt idx="645">
                  <c:v>3432.7214755355221</c:v>
                </c:pt>
                <c:pt idx="646">
                  <c:v>3360.8000855673267</c:v>
                </c:pt>
                <c:pt idx="647">
                  <c:v>3487.815302786456</c:v>
                </c:pt>
                <c:pt idx="648">
                  <c:v>2259.35177783362</c:v>
                </c:pt>
                <c:pt idx="649">
                  <c:v>2296.8992854888847</c:v>
                </c:pt>
                <c:pt idx="650">
                  <c:v>2260.9089942724031</c:v>
                </c:pt>
                <c:pt idx="651">
                  <c:v>2990.6541020212776</c:v>
                </c:pt>
                <c:pt idx="652">
                  <c:v>3100.8424988581851</c:v>
                </c:pt>
                <c:pt idx="653">
                  <c:v>3028.0803774801602</c:v>
                </c:pt>
                <c:pt idx="654">
                  <c:v>1825.7285907863716</c:v>
                </c:pt>
                <c:pt idx="655">
                  <c:v>1858.2206008520525</c:v>
                </c:pt>
                <c:pt idx="656">
                  <c:v>1833.4399996575457</c:v>
                </c:pt>
                <c:pt idx="657">
                  <c:v>1816.495211019982</c:v>
                </c:pt>
                <c:pt idx="658">
                  <c:v>3035.9233529123026</c:v>
                </c:pt>
                <c:pt idx="659">
                  <c:v>1692.4766746488872</c:v>
                </c:pt>
                <c:pt idx="660">
                  <c:v>1744.9228554345668</c:v>
                </c:pt>
                <c:pt idx="661">
                  <c:v>3670.0536226558233</c:v>
                </c:pt>
                <c:pt idx="662">
                  <c:v>3739.3969205911035</c:v>
                </c:pt>
                <c:pt idx="663">
                  <c:v>2794.6321218098301</c:v>
                </c:pt>
                <c:pt idx="664">
                  <c:v>2360.1848443736699</c:v>
                </c:pt>
                <c:pt idx="665">
                  <c:v>2252.6013706573076</c:v>
                </c:pt>
                <c:pt idx="666">
                  <c:v>2166.864977658116</c:v>
                </c:pt>
                <c:pt idx="667">
                  <c:v>2270.9070056995606</c:v>
                </c:pt>
                <c:pt idx="668">
                  <c:v>2230.3217907863718</c:v>
                </c:pt>
                <c:pt idx="669">
                  <c:v>2251.3794063904124</c:v>
                </c:pt>
                <c:pt idx="670">
                  <c:v>3183.073771646837</c:v>
                </c:pt>
                <c:pt idx="671">
                  <c:v>3283.7743731663818</c:v>
                </c:pt>
                <c:pt idx="672">
                  <c:v>1827.2696394744262</c:v>
                </c:pt>
                <c:pt idx="673">
                  <c:v>2999.9767274019346</c:v>
                </c:pt>
                <c:pt idx="674">
                  <c:v>2998.4213924727305</c:v>
                </c:pt>
                <c:pt idx="675">
                  <c:v>1784.3515052184507</c:v>
                </c:pt>
                <c:pt idx="676">
                  <c:v>1747.9415186944816</c:v>
                </c:pt>
                <c:pt idx="677">
                  <c:v>2874.478553409831</c:v>
                </c:pt>
                <c:pt idx="678">
                  <c:v>1645.1454151371377</c:v>
                </c:pt>
                <c:pt idx="679">
                  <c:v>1830.3535855673263</c:v>
                </c:pt>
                <c:pt idx="680">
                  <c:v>1430.7796086754347</c:v>
                </c:pt>
                <c:pt idx="681">
                  <c:v>1685.0425271541681</c:v>
                </c:pt>
                <c:pt idx="682">
                  <c:v>1585.3452548507903</c:v>
                </c:pt>
                <c:pt idx="683">
                  <c:v>1640.7379487475268</c:v>
                </c:pt>
                <c:pt idx="684">
                  <c:v>1589.689291154797</c:v>
                </c:pt>
                <c:pt idx="685">
                  <c:v>1671.6972780184824</c:v>
                </c:pt>
                <c:pt idx="686">
                  <c:v>1626.0829469990585</c:v>
                </c:pt>
                <c:pt idx="687">
                  <c:v>1573.7852622982878</c:v>
                </c:pt>
                <c:pt idx="688">
                  <c:v>1686.5282041907026</c:v>
                </c:pt>
                <c:pt idx="689">
                  <c:v>1599.8446300659557</c:v>
                </c:pt>
                <c:pt idx="690">
                  <c:v>1741.9065610034227</c:v>
                </c:pt>
                <c:pt idx="691">
                  <c:v>1585.3452548507903</c:v>
                </c:pt>
                <c:pt idx="692">
                  <c:v>1536.4553626433412</c:v>
                </c:pt>
                <c:pt idx="693">
                  <c:v>3471.9068938416199</c:v>
                </c:pt>
                <c:pt idx="694">
                  <c:v>3492.6005894915374</c:v>
                </c:pt>
                <c:pt idx="695">
                  <c:v>3295.0331634218514</c:v>
                </c:pt>
                <c:pt idx="696">
                  <c:v>2411.2550478039575</c:v>
                </c:pt>
                <c:pt idx="697">
                  <c:v>2183.8079700497542</c:v>
                </c:pt>
                <c:pt idx="698">
                  <c:v>3288.9720443247838</c:v>
                </c:pt>
                <c:pt idx="699">
                  <c:v>2309.5455733882541</c:v>
                </c:pt>
                <c:pt idx="700">
                  <c:v>1445.5920030833195</c:v>
                </c:pt>
                <c:pt idx="701">
                  <c:v>1673.0958027864558</c:v>
                </c:pt>
                <c:pt idx="702">
                  <c:v>1538.3753398500371</c:v>
                </c:pt>
                <c:pt idx="703">
                  <c:v>1513.8215486248409</c:v>
                </c:pt>
                <c:pt idx="704">
                  <c:v>1409.692234903338</c:v>
                </c:pt>
                <c:pt idx="705">
                  <c:v>1309.7652739302794</c:v>
                </c:pt>
                <c:pt idx="706">
                  <c:v>1380.030280271249</c:v>
                </c:pt>
                <c:pt idx="707">
                  <c:v>2208.3129622190845</c:v>
                </c:pt>
                <c:pt idx="708">
                  <c:v>2226.7944996575461</c:v>
                </c:pt>
                <c:pt idx="709">
                  <c:v>3336.1973152626174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19-4402-A6C4-5E822365E7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4196688"/>
        <c:axId val="724204592"/>
      </c:scatterChart>
      <c:valAx>
        <c:axId val="724196688"/>
        <c:scaling>
          <c:orientation val="minMax"/>
          <c:min val="-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실제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24204592"/>
        <c:crosses val="autoZero"/>
        <c:crossBetween val="midCat"/>
      </c:valAx>
      <c:valAx>
        <c:axId val="724204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예측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24196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[2]Modeling_final!$HJ$1</c:f>
              <c:strCache>
                <c:ptCount val="1"/>
                <c:pt idx="0">
                  <c:v>소전 예측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[2]Modeling_final!$FN$2:$FN$241</c:f>
              <c:numCache>
                <c:formatCode>General</c:formatCode>
                <c:ptCount val="240"/>
                <c:pt idx="0">
                  <c:v>2695.86666666666</c:v>
                </c:pt>
                <c:pt idx="1">
                  <c:v>2395.36666666666</c:v>
                </c:pt>
                <c:pt idx="2">
                  <c:v>2298.6999999999998</c:v>
                </c:pt>
                <c:pt idx="3">
                  <c:v>2642.6</c:v>
                </c:pt>
                <c:pt idx="4">
                  <c:v>2276.9</c:v>
                </c:pt>
                <c:pt idx="5">
                  <c:v>2109.5333333333301</c:v>
                </c:pt>
                <c:pt idx="6">
                  <c:v>2183.9333333333302</c:v>
                </c:pt>
                <c:pt idx="7">
                  <c:v>1922.4666666666601</c:v>
                </c:pt>
                <c:pt idx="8">
                  <c:v>2029.4</c:v>
                </c:pt>
                <c:pt idx="9">
                  <c:v>2124.9666666666599</c:v>
                </c:pt>
                <c:pt idx="10">
                  <c:v>1949.6</c:v>
                </c:pt>
                <c:pt idx="11">
                  <c:v>2112.0333333333301</c:v>
                </c:pt>
                <c:pt idx="12">
                  <c:v>2035.8333333333301</c:v>
                </c:pt>
                <c:pt idx="13">
                  <c:v>2036.13333333333</c:v>
                </c:pt>
                <c:pt idx="14">
                  <c:v>1473.1666666666599</c:v>
                </c:pt>
                <c:pt idx="15">
                  <c:v>1522.8</c:v>
                </c:pt>
                <c:pt idx="16">
                  <c:v>1494.7</c:v>
                </c:pt>
                <c:pt idx="17">
                  <c:v>4913.8333333333303</c:v>
                </c:pt>
                <c:pt idx="18">
                  <c:v>4517.3666666666604</c:v>
                </c:pt>
                <c:pt idx="19">
                  <c:v>3372.7333333333299</c:v>
                </c:pt>
                <c:pt idx="20">
                  <c:v>3130.5</c:v>
                </c:pt>
                <c:pt idx="21">
                  <c:v>2151.9666666666599</c:v>
                </c:pt>
                <c:pt idx="22">
                  <c:v>2244.4</c:v>
                </c:pt>
                <c:pt idx="23">
                  <c:v>2196.0333333333301</c:v>
                </c:pt>
                <c:pt idx="24">
                  <c:v>2290.9333333333302</c:v>
                </c:pt>
                <c:pt idx="25">
                  <c:v>2227</c:v>
                </c:pt>
                <c:pt idx="26">
                  <c:v>2227</c:v>
                </c:pt>
                <c:pt idx="27">
                  <c:v>2170.4</c:v>
                </c:pt>
                <c:pt idx="28">
                  <c:v>2201.4666666666599</c:v>
                </c:pt>
                <c:pt idx="29">
                  <c:v>2184.0666666666598</c:v>
                </c:pt>
                <c:pt idx="30">
                  <c:v>2068.1666666666601</c:v>
                </c:pt>
                <c:pt idx="31">
                  <c:v>2060.5333333333301</c:v>
                </c:pt>
                <c:pt idx="32">
                  <c:v>2108.4666666666599</c:v>
                </c:pt>
                <c:pt idx="33">
                  <c:v>1983.9</c:v>
                </c:pt>
                <c:pt idx="34">
                  <c:v>2133.0666666666598</c:v>
                </c:pt>
                <c:pt idx="35">
                  <c:v>2075.36666666666</c:v>
                </c:pt>
                <c:pt idx="36">
                  <c:v>2377.9</c:v>
                </c:pt>
                <c:pt idx="37">
                  <c:v>2510.0333333333301</c:v>
                </c:pt>
                <c:pt idx="38">
                  <c:v>2181.8000000000002</c:v>
                </c:pt>
                <c:pt idx="39">
                  <c:v>2810.1</c:v>
                </c:pt>
                <c:pt idx="40">
                  <c:v>2971.2666666666601</c:v>
                </c:pt>
                <c:pt idx="41">
                  <c:v>2120.4</c:v>
                </c:pt>
                <c:pt idx="42">
                  <c:v>2022.8</c:v>
                </c:pt>
                <c:pt idx="43">
                  <c:v>1859.4</c:v>
                </c:pt>
                <c:pt idx="44">
                  <c:v>1957.6</c:v>
                </c:pt>
                <c:pt idx="45">
                  <c:v>2061.6666666666601</c:v>
                </c:pt>
                <c:pt idx="46">
                  <c:v>1946.8333333333301</c:v>
                </c:pt>
                <c:pt idx="47">
                  <c:v>2106.4</c:v>
                </c:pt>
                <c:pt idx="48">
                  <c:v>1998.3333333333301</c:v>
                </c:pt>
                <c:pt idx="49">
                  <c:v>2042.7666666666601</c:v>
                </c:pt>
                <c:pt idx="50">
                  <c:v>2066.6</c:v>
                </c:pt>
                <c:pt idx="51">
                  <c:v>1495.2</c:v>
                </c:pt>
                <c:pt idx="52">
                  <c:v>1596.9</c:v>
                </c:pt>
                <c:pt idx="53">
                  <c:v>1563.4</c:v>
                </c:pt>
                <c:pt idx="54">
                  <c:v>1535.13333333333</c:v>
                </c:pt>
                <c:pt idx="55">
                  <c:v>1493.43333333333</c:v>
                </c:pt>
                <c:pt idx="56">
                  <c:v>3591.9333333333302</c:v>
                </c:pt>
                <c:pt idx="57">
                  <c:v>1515.9</c:v>
                </c:pt>
                <c:pt idx="58">
                  <c:v>3102.2333333333299</c:v>
                </c:pt>
                <c:pt idx="59">
                  <c:v>1607.2</c:v>
                </c:pt>
                <c:pt idx="60">
                  <c:v>1527.56666666666</c:v>
                </c:pt>
                <c:pt idx="61">
                  <c:v>1571.06666666666</c:v>
                </c:pt>
                <c:pt idx="62">
                  <c:v>1550.3</c:v>
                </c:pt>
                <c:pt idx="63">
                  <c:v>1561</c:v>
                </c:pt>
                <c:pt idx="64">
                  <c:v>1518.56666666666</c:v>
                </c:pt>
                <c:pt idx="65">
                  <c:v>3744.13333333333</c:v>
                </c:pt>
                <c:pt idx="66">
                  <c:v>2437</c:v>
                </c:pt>
                <c:pt idx="67">
                  <c:v>2500.1666666666601</c:v>
                </c:pt>
                <c:pt idx="68">
                  <c:v>2554.6999999999998</c:v>
                </c:pt>
                <c:pt idx="69">
                  <c:v>2549.1999999999998</c:v>
                </c:pt>
                <c:pt idx="70">
                  <c:v>3940.2666666666601</c:v>
                </c:pt>
                <c:pt idx="71">
                  <c:v>3613.5</c:v>
                </c:pt>
                <c:pt idx="72">
                  <c:v>3518.6666666666601</c:v>
                </c:pt>
                <c:pt idx="73">
                  <c:v>3341.2666666666601</c:v>
                </c:pt>
                <c:pt idx="74">
                  <c:v>3256.5666666666598</c:v>
                </c:pt>
                <c:pt idx="75">
                  <c:v>3235.9333333333302</c:v>
                </c:pt>
                <c:pt idx="76">
                  <c:v>3224.3</c:v>
                </c:pt>
                <c:pt idx="77">
                  <c:v>3102.1666666666601</c:v>
                </c:pt>
                <c:pt idx="78">
                  <c:v>3043</c:v>
                </c:pt>
                <c:pt idx="79">
                  <c:v>3058.2333333333299</c:v>
                </c:pt>
                <c:pt idx="80">
                  <c:v>2656.2333333333299</c:v>
                </c:pt>
                <c:pt idx="81">
                  <c:v>2648.0666666666598</c:v>
                </c:pt>
                <c:pt idx="82">
                  <c:v>2932</c:v>
                </c:pt>
                <c:pt idx="83">
                  <c:v>2979.6</c:v>
                </c:pt>
                <c:pt idx="84">
                  <c:v>3016.7333333333299</c:v>
                </c:pt>
                <c:pt idx="85">
                  <c:v>3204.5666666666598</c:v>
                </c:pt>
                <c:pt idx="86">
                  <c:v>3374.0666666666598</c:v>
                </c:pt>
                <c:pt idx="87">
                  <c:v>3019.9</c:v>
                </c:pt>
                <c:pt idx="88">
                  <c:v>2837.4333333333302</c:v>
                </c:pt>
                <c:pt idx="89">
                  <c:v>2690.2666666666601</c:v>
                </c:pt>
                <c:pt idx="90">
                  <c:v>2550.9333333333302</c:v>
                </c:pt>
                <c:pt idx="91">
                  <c:v>2159.5</c:v>
                </c:pt>
                <c:pt idx="92">
                  <c:v>2172.2666666666601</c:v>
                </c:pt>
                <c:pt idx="93">
                  <c:v>2106.9666666666599</c:v>
                </c:pt>
                <c:pt idx="94">
                  <c:v>6678.4</c:v>
                </c:pt>
                <c:pt idx="95">
                  <c:v>6067.7666666666601</c:v>
                </c:pt>
                <c:pt idx="96">
                  <c:v>5879.9333333333298</c:v>
                </c:pt>
                <c:pt idx="97">
                  <c:v>2647.2333333333299</c:v>
                </c:pt>
                <c:pt idx="98">
                  <c:v>2702.9</c:v>
                </c:pt>
                <c:pt idx="99">
                  <c:v>2755.4</c:v>
                </c:pt>
                <c:pt idx="100">
                  <c:v>2876.2</c:v>
                </c:pt>
                <c:pt idx="101">
                  <c:v>2847.8333333333298</c:v>
                </c:pt>
                <c:pt idx="102">
                  <c:v>2647</c:v>
                </c:pt>
                <c:pt idx="103">
                  <c:v>2669.13333333333</c:v>
                </c:pt>
                <c:pt idx="104">
                  <c:v>2504.6</c:v>
                </c:pt>
                <c:pt idx="105">
                  <c:v>2392.1666666666601</c:v>
                </c:pt>
                <c:pt idx="106">
                  <c:v>2388.0333333333301</c:v>
                </c:pt>
                <c:pt idx="107">
                  <c:v>2353.1</c:v>
                </c:pt>
                <c:pt idx="108">
                  <c:v>2483.0333333333301</c:v>
                </c:pt>
                <c:pt idx="109">
                  <c:v>2456.2666666666601</c:v>
                </c:pt>
                <c:pt idx="110">
                  <c:v>2457.6</c:v>
                </c:pt>
                <c:pt idx="111">
                  <c:v>2562.5666666666598</c:v>
                </c:pt>
                <c:pt idx="112">
                  <c:v>2543.1999999999998</c:v>
                </c:pt>
                <c:pt idx="113">
                  <c:v>2538.86666666666</c:v>
                </c:pt>
                <c:pt idx="114">
                  <c:v>2339</c:v>
                </c:pt>
                <c:pt idx="115">
                  <c:v>2690.8</c:v>
                </c:pt>
                <c:pt idx="116">
                  <c:v>2400.9333333333302</c:v>
                </c:pt>
                <c:pt idx="117">
                  <c:v>2466.5333333333301</c:v>
                </c:pt>
                <c:pt idx="118">
                  <c:v>2379.8000000000002</c:v>
                </c:pt>
                <c:pt idx="119">
                  <c:v>2373.63333333333</c:v>
                </c:pt>
                <c:pt idx="120">
                  <c:v>2389.4666666666599</c:v>
                </c:pt>
                <c:pt idx="121">
                  <c:v>2300.2666666666601</c:v>
                </c:pt>
                <c:pt idx="122">
                  <c:v>2559.4333333333302</c:v>
                </c:pt>
                <c:pt idx="123">
                  <c:v>2481.5666666666598</c:v>
                </c:pt>
                <c:pt idx="124">
                  <c:v>2388</c:v>
                </c:pt>
                <c:pt idx="125">
                  <c:v>2112.9666666666599</c:v>
                </c:pt>
                <c:pt idx="126">
                  <c:v>2393.5666666666598</c:v>
                </c:pt>
                <c:pt idx="127">
                  <c:v>2329.86666666666</c:v>
                </c:pt>
                <c:pt idx="128">
                  <c:v>2330.63333333333</c:v>
                </c:pt>
                <c:pt idx="129">
                  <c:v>2384.4666666666599</c:v>
                </c:pt>
                <c:pt idx="130">
                  <c:v>2048.6999999999998</c:v>
                </c:pt>
                <c:pt idx="131">
                  <c:v>2076.5</c:v>
                </c:pt>
                <c:pt idx="132">
                  <c:v>2154.2666666666601</c:v>
                </c:pt>
                <c:pt idx="133">
                  <c:v>2215.2333333333299</c:v>
                </c:pt>
                <c:pt idx="134">
                  <c:v>1661.5333333333299</c:v>
                </c:pt>
                <c:pt idx="135">
                  <c:v>1572.2666666666601</c:v>
                </c:pt>
                <c:pt idx="136">
                  <c:v>4978.7666666666601</c:v>
                </c:pt>
                <c:pt idx="137">
                  <c:v>3267.9333333333302</c:v>
                </c:pt>
                <c:pt idx="138">
                  <c:v>2885</c:v>
                </c:pt>
                <c:pt idx="139">
                  <c:v>2589.1666666666601</c:v>
                </c:pt>
                <c:pt idx="140">
                  <c:v>2690.5</c:v>
                </c:pt>
                <c:pt idx="141">
                  <c:v>2279.63333333333</c:v>
                </c:pt>
                <c:pt idx="142">
                  <c:v>2500.13333333333</c:v>
                </c:pt>
                <c:pt idx="143">
                  <c:v>2180.1</c:v>
                </c:pt>
                <c:pt idx="144">
                  <c:v>2215.4666666666599</c:v>
                </c:pt>
                <c:pt idx="145">
                  <c:v>2112.1999999999998</c:v>
                </c:pt>
                <c:pt idx="146">
                  <c:v>1435.8333333333301</c:v>
                </c:pt>
                <c:pt idx="147">
                  <c:v>2204.6</c:v>
                </c:pt>
                <c:pt idx="148">
                  <c:v>2215.13333333333</c:v>
                </c:pt>
                <c:pt idx="149">
                  <c:v>2123</c:v>
                </c:pt>
                <c:pt idx="150">
                  <c:v>2344.6</c:v>
                </c:pt>
                <c:pt idx="151">
                  <c:v>2283.9333333333302</c:v>
                </c:pt>
                <c:pt idx="152">
                  <c:v>2260.5333333333301</c:v>
                </c:pt>
                <c:pt idx="153">
                  <c:v>2115.6</c:v>
                </c:pt>
                <c:pt idx="154">
                  <c:v>2046.93333333333</c:v>
                </c:pt>
                <c:pt idx="155">
                  <c:v>2102.1999999999998</c:v>
                </c:pt>
                <c:pt idx="156">
                  <c:v>2178.2333333333299</c:v>
                </c:pt>
                <c:pt idx="157">
                  <c:v>2144.3000000000002</c:v>
                </c:pt>
                <c:pt idx="158">
                  <c:v>5923.4333333333298</c:v>
                </c:pt>
                <c:pt idx="159">
                  <c:v>6290.9333333333298</c:v>
                </c:pt>
                <c:pt idx="160">
                  <c:v>1683.2333333333299</c:v>
                </c:pt>
                <c:pt idx="161">
                  <c:v>1637</c:v>
                </c:pt>
                <c:pt idx="162">
                  <c:v>1671.2666666666601</c:v>
                </c:pt>
                <c:pt idx="163">
                  <c:v>1615.7333333333299</c:v>
                </c:pt>
                <c:pt idx="164">
                  <c:v>1815.2333333333299</c:v>
                </c:pt>
                <c:pt idx="165">
                  <c:v>5776.0333333333301</c:v>
                </c:pt>
                <c:pt idx="166">
                  <c:v>5481.4666666666599</c:v>
                </c:pt>
                <c:pt idx="167">
                  <c:v>1805.0333333333299</c:v>
                </c:pt>
                <c:pt idx="168">
                  <c:v>1911.1666666666599</c:v>
                </c:pt>
                <c:pt idx="169">
                  <c:v>6390.8333333333303</c:v>
                </c:pt>
                <c:pt idx="170">
                  <c:v>2275</c:v>
                </c:pt>
                <c:pt idx="171">
                  <c:v>3606.13333333333</c:v>
                </c:pt>
                <c:pt idx="172">
                  <c:v>3735</c:v>
                </c:pt>
                <c:pt idx="173">
                  <c:v>3805.7333333333299</c:v>
                </c:pt>
                <c:pt idx="174">
                  <c:v>3362.0666666666598</c:v>
                </c:pt>
                <c:pt idx="175">
                  <c:v>3214.9</c:v>
                </c:pt>
                <c:pt idx="176">
                  <c:v>1679.9</c:v>
                </c:pt>
                <c:pt idx="177">
                  <c:v>1586.4666666666601</c:v>
                </c:pt>
                <c:pt idx="178">
                  <c:v>1705.1666666666599</c:v>
                </c:pt>
                <c:pt idx="179">
                  <c:v>1622.7</c:v>
                </c:pt>
                <c:pt idx="180">
                  <c:v>2813.6</c:v>
                </c:pt>
                <c:pt idx="181">
                  <c:v>2106.7666666666601</c:v>
                </c:pt>
                <c:pt idx="182">
                  <c:v>1628.63333333333</c:v>
                </c:pt>
                <c:pt idx="183">
                  <c:v>3803.6666666666601</c:v>
                </c:pt>
                <c:pt idx="184">
                  <c:v>4107.2333333333299</c:v>
                </c:pt>
                <c:pt idx="185">
                  <c:v>1636.1</c:v>
                </c:pt>
                <c:pt idx="186">
                  <c:v>1645.2666666666601</c:v>
                </c:pt>
                <c:pt idx="187">
                  <c:v>1541.8333333333301</c:v>
                </c:pt>
                <c:pt idx="188">
                  <c:v>1655</c:v>
                </c:pt>
                <c:pt idx="189">
                  <c:v>1690.8333333333301</c:v>
                </c:pt>
                <c:pt idx="190">
                  <c:v>1657.86666666666</c:v>
                </c:pt>
                <c:pt idx="191">
                  <c:v>5129.6666666666597</c:v>
                </c:pt>
                <c:pt idx="192">
                  <c:v>1971.93333333333</c:v>
                </c:pt>
                <c:pt idx="193">
                  <c:v>1646.93333333333</c:v>
                </c:pt>
                <c:pt idx="194">
                  <c:v>1276</c:v>
                </c:pt>
                <c:pt idx="195">
                  <c:v>1469</c:v>
                </c:pt>
                <c:pt idx="196">
                  <c:v>1472.0333333333299</c:v>
                </c:pt>
                <c:pt idx="197">
                  <c:v>2712.6666666666601</c:v>
                </c:pt>
                <c:pt idx="198">
                  <c:v>2313.6</c:v>
                </c:pt>
                <c:pt idx="199">
                  <c:v>2973.2</c:v>
                </c:pt>
                <c:pt idx="200">
                  <c:v>2504.2666666666601</c:v>
                </c:pt>
                <c:pt idx="201">
                  <c:v>2354.4333333333302</c:v>
                </c:pt>
                <c:pt idx="202">
                  <c:v>2310.1</c:v>
                </c:pt>
                <c:pt idx="203">
                  <c:v>1748.8333333333301</c:v>
                </c:pt>
                <c:pt idx="204">
                  <c:v>1470.7</c:v>
                </c:pt>
                <c:pt idx="205">
                  <c:v>1323.36666666666</c:v>
                </c:pt>
                <c:pt idx="206">
                  <c:v>1871.06666666666</c:v>
                </c:pt>
                <c:pt idx="207">
                  <c:v>2053.7333333333299</c:v>
                </c:pt>
                <c:pt idx="208">
                  <c:v>1862.63333333333</c:v>
                </c:pt>
                <c:pt idx="209">
                  <c:v>2035.86666666666</c:v>
                </c:pt>
                <c:pt idx="210">
                  <c:v>2057.1999999999998</c:v>
                </c:pt>
                <c:pt idx="211">
                  <c:v>2009.9</c:v>
                </c:pt>
                <c:pt idx="212">
                  <c:v>1513.63333333333</c:v>
                </c:pt>
                <c:pt idx="213">
                  <c:v>1533.63333333333</c:v>
                </c:pt>
                <c:pt idx="214">
                  <c:v>2059.7666666666601</c:v>
                </c:pt>
                <c:pt idx="215">
                  <c:v>1832.5</c:v>
                </c:pt>
                <c:pt idx="216">
                  <c:v>2109.4666666666599</c:v>
                </c:pt>
                <c:pt idx="217">
                  <c:v>2075.5333333333301</c:v>
                </c:pt>
                <c:pt idx="218">
                  <c:v>1744.0333333333299</c:v>
                </c:pt>
                <c:pt idx="219">
                  <c:v>1771.1666666666599</c:v>
                </c:pt>
                <c:pt idx="220">
                  <c:v>2120.5666666666598</c:v>
                </c:pt>
                <c:pt idx="221">
                  <c:v>2250.86666666666</c:v>
                </c:pt>
                <c:pt idx="222">
                  <c:v>1546.2</c:v>
                </c:pt>
                <c:pt idx="223">
                  <c:v>5555.9</c:v>
                </c:pt>
                <c:pt idx="224">
                  <c:v>2107.2333333333299</c:v>
                </c:pt>
                <c:pt idx="225">
                  <c:v>2396.6666666666601</c:v>
                </c:pt>
                <c:pt idx="226">
                  <c:v>2308.9</c:v>
                </c:pt>
                <c:pt idx="227">
                  <c:v>2382.1666666666601</c:v>
                </c:pt>
                <c:pt idx="228">
                  <c:v>2620.7666666666601</c:v>
                </c:pt>
                <c:pt idx="229">
                  <c:v>1550.4</c:v>
                </c:pt>
                <c:pt idx="230">
                  <c:v>4910.1000000000004</c:v>
                </c:pt>
                <c:pt idx="231">
                  <c:v>4941.6333333333296</c:v>
                </c:pt>
                <c:pt idx="232">
                  <c:v>4717.9333333333298</c:v>
                </c:pt>
                <c:pt idx="233">
                  <c:v>3836.5333333333301</c:v>
                </c:pt>
                <c:pt idx="234">
                  <c:v>1636</c:v>
                </c:pt>
                <c:pt idx="235">
                  <c:v>1625.0333333333299</c:v>
                </c:pt>
                <c:pt idx="236">
                  <c:v>1658.4666666666601</c:v>
                </c:pt>
                <c:pt idx="237">
                  <c:v>1630.2333333333299</c:v>
                </c:pt>
                <c:pt idx="238">
                  <c:v>1647.1666666666599</c:v>
                </c:pt>
                <c:pt idx="239">
                  <c:v>1567.13333333333</c:v>
                </c:pt>
              </c:numCache>
            </c:numRef>
          </c:xVal>
          <c:yVal>
            <c:numRef>
              <c:f>[2]Modeling_final!$HJ$2:$HJ$241</c:f>
              <c:numCache>
                <c:formatCode>General</c:formatCode>
                <c:ptCount val="240"/>
                <c:pt idx="0">
                  <c:v>2371.8012283239186</c:v>
                </c:pt>
                <c:pt idx="1">
                  <c:v>2328.7894714558443</c:v>
                </c:pt>
                <c:pt idx="2">
                  <c:v>2417.2684589894134</c:v>
                </c:pt>
                <c:pt idx="3">
                  <c:v>2391.1053038630025</c:v>
                </c:pt>
                <c:pt idx="4">
                  <c:v>2474.1121026170595</c:v>
                </c:pt>
                <c:pt idx="5">
                  <c:v>2423.407496276438</c:v>
                </c:pt>
                <c:pt idx="6">
                  <c:v>2501.814375852091</c:v>
                </c:pt>
                <c:pt idx="7">
                  <c:v>2413.1533627378358</c:v>
                </c:pt>
                <c:pt idx="8">
                  <c:v>2456.6755253705123</c:v>
                </c:pt>
                <c:pt idx="9">
                  <c:v>2436.2723479994629</c:v>
                </c:pt>
                <c:pt idx="10">
                  <c:v>2393.5108825252591</c:v>
                </c:pt>
                <c:pt idx="11">
                  <c:v>2415.1431873826723</c:v>
                </c:pt>
                <c:pt idx="12">
                  <c:v>2475.2429268508113</c:v>
                </c:pt>
                <c:pt idx="13">
                  <c:v>2396.226633349529</c:v>
                </c:pt>
                <c:pt idx="14">
                  <c:v>1410.7340348740836</c:v>
                </c:pt>
                <c:pt idx="15">
                  <c:v>1307.6705412714191</c:v>
                </c:pt>
                <c:pt idx="16">
                  <c:v>1334.1117033547566</c:v>
                </c:pt>
                <c:pt idx="17">
                  <c:v>4918.6157999769421</c:v>
                </c:pt>
                <c:pt idx="18">
                  <c:v>4487.7235407979751</c:v>
                </c:pt>
                <c:pt idx="19">
                  <c:v>3049.7564601969866</c:v>
                </c:pt>
                <c:pt idx="20">
                  <c:v>3073.8576209070106</c:v>
                </c:pt>
                <c:pt idx="21">
                  <c:v>2380.9201956076149</c:v>
                </c:pt>
                <c:pt idx="22">
                  <c:v>2466.7607174210962</c:v>
                </c:pt>
                <c:pt idx="23">
                  <c:v>2430.2809847251383</c:v>
                </c:pt>
                <c:pt idx="24">
                  <c:v>2508.8760528686771</c:v>
                </c:pt>
                <c:pt idx="25">
                  <c:v>2495.6564495154935</c:v>
                </c:pt>
                <c:pt idx="26">
                  <c:v>2448.8234144057324</c:v>
                </c:pt>
                <c:pt idx="27">
                  <c:v>2454.6804613082495</c:v>
                </c:pt>
                <c:pt idx="28">
                  <c:v>2452.8894971522905</c:v>
                </c:pt>
                <c:pt idx="29">
                  <c:v>2468.0248131575827</c:v>
                </c:pt>
                <c:pt idx="30">
                  <c:v>2452.3565048852579</c:v>
                </c:pt>
                <c:pt idx="31">
                  <c:v>2435.9332467645318</c:v>
                </c:pt>
                <c:pt idx="32">
                  <c:v>2454.0531812580912</c:v>
                </c:pt>
                <c:pt idx="33">
                  <c:v>2435.5412437014065</c:v>
                </c:pt>
                <c:pt idx="34">
                  <c:v>2458.7312920085178</c:v>
                </c:pt>
                <c:pt idx="35">
                  <c:v>2458.4536511134529</c:v>
                </c:pt>
                <c:pt idx="36">
                  <c:v>2345.1847073259387</c:v>
                </c:pt>
                <c:pt idx="37">
                  <c:v>2201.0606085105455</c:v>
                </c:pt>
                <c:pt idx="38">
                  <c:v>2321.5624862695677</c:v>
                </c:pt>
                <c:pt idx="39">
                  <c:v>3050.4646369639299</c:v>
                </c:pt>
                <c:pt idx="40">
                  <c:v>2988.2568439753472</c:v>
                </c:pt>
                <c:pt idx="41">
                  <c:v>2424.2525631056833</c:v>
                </c:pt>
                <c:pt idx="42">
                  <c:v>2493.0048854962006</c:v>
                </c:pt>
                <c:pt idx="43">
                  <c:v>2338.0662813325907</c:v>
                </c:pt>
                <c:pt idx="44">
                  <c:v>2503.4012179582251</c:v>
                </c:pt>
                <c:pt idx="45">
                  <c:v>2437.5417691552329</c:v>
                </c:pt>
                <c:pt idx="46">
                  <c:v>2512.7594170506727</c:v>
                </c:pt>
                <c:pt idx="47">
                  <c:v>2505.9355306677371</c:v>
                </c:pt>
                <c:pt idx="48">
                  <c:v>2423.7640014530343</c:v>
                </c:pt>
                <c:pt idx="49">
                  <c:v>2476.0392846647401</c:v>
                </c:pt>
                <c:pt idx="50">
                  <c:v>2504.7097463777782</c:v>
                </c:pt>
                <c:pt idx="51">
                  <c:v>1316.4773776994834</c:v>
                </c:pt>
                <c:pt idx="52">
                  <c:v>1367.4381013601906</c:v>
                </c:pt>
                <c:pt idx="53">
                  <c:v>1359.177672249617</c:v>
                </c:pt>
                <c:pt idx="54">
                  <c:v>1400.259459578353</c:v>
                </c:pt>
                <c:pt idx="55">
                  <c:v>1224.3533937006259</c:v>
                </c:pt>
                <c:pt idx="56">
                  <c:v>3099.3898772803573</c:v>
                </c:pt>
                <c:pt idx="57">
                  <c:v>1158.0425485405672</c:v>
                </c:pt>
                <c:pt idx="58">
                  <c:v>2502.4527609538336</c:v>
                </c:pt>
                <c:pt idx="59">
                  <c:v>1146.8597404027419</c:v>
                </c:pt>
                <c:pt idx="60">
                  <c:v>1270.6733438564684</c:v>
                </c:pt>
                <c:pt idx="61">
                  <c:v>1294.537182949558</c:v>
                </c:pt>
                <c:pt idx="62">
                  <c:v>1312.7194402709115</c:v>
                </c:pt>
                <c:pt idx="63">
                  <c:v>1376.716400990631</c:v>
                </c:pt>
                <c:pt idx="64">
                  <c:v>1205.4297390038946</c:v>
                </c:pt>
                <c:pt idx="65">
                  <c:v>3026.3302355991341</c:v>
                </c:pt>
                <c:pt idx="66">
                  <c:v>2889.2299137676819</c:v>
                </c:pt>
                <c:pt idx="67">
                  <c:v>2929.7114680874811</c:v>
                </c:pt>
                <c:pt idx="68">
                  <c:v>2943.7813677050362</c:v>
                </c:pt>
                <c:pt idx="69">
                  <c:v>3017.11310404601</c:v>
                </c:pt>
                <c:pt idx="70">
                  <c:v>3087.2949714197839</c:v>
                </c:pt>
                <c:pt idx="71">
                  <c:v>3059.2074852011874</c:v>
                </c:pt>
                <c:pt idx="72">
                  <c:v>3047.4385574735757</c:v>
                </c:pt>
                <c:pt idx="73">
                  <c:v>3098.7426027708257</c:v>
                </c:pt>
                <c:pt idx="74">
                  <c:v>3092.0013293018264</c:v>
                </c:pt>
                <c:pt idx="75">
                  <c:v>3105.3760507459665</c:v>
                </c:pt>
                <c:pt idx="76">
                  <c:v>3103.7971542033802</c:v>
                </c:pt>
                <c:pt idx="77">
                  <c:v>3039.1552591259915</c:v>
                </c:pt>
                <c:pt idx="78">
                  <c:v>3066.1764886013093</c:v>
                </c:pt>
                <c:pt idx="79">
                  <c:v>3039.8288520391143</c:v>
                </c:pt>
                <c:pt idx="80">
                  <c:v>3084.2130097727882</c:v>
                </c:pt>
                <c:pt idx="81">
                  <c:v>3008.5292005624628</c:v>
                </c:pt>
                <c:pt idx="82">
                  <c:v>3069.2981683580456</c:v>
                </c:pt>
                <c:pt idx="83">
                  <c:v>3080.2014187999398</c:v>
                </c:pt>
                <c:pt idx="84">
                  <c:v>3067.2047574049438</c:v>
                </c:pt>
                <c:pt idx="85">
                  <c:v>3113.2602454754892</c:v>
                </c:pt>
                <c:pt idx="86">
                  <c:v>3074.535320102053</c:v>
                </c:pt>
                <c:pt idx="87">
                  <c:v>3024.4906763955591</c:v>
                </c:pt>
                <c:pt idx="88">
                  <c:v>2921.677893213779</c:v>
                </c:pt>
                <c:pt idx="89">
                  <c:v>2982.5716250295559</c:v>
                </c:pt>
                <c:pt idx="90">
                  <c:v>3015.8079693680838</c:v>
                </c:pt>
                <c:pt idx="91">
                  <c:v>2479.179827302165</c:v>
                </c:pt>
                <c:pt idx="92">
                  <c:v>2416.5397690658456</c:v>
                </c:pt>
                <c:pt idx="93">
                  <c:v>2403.2582290473192</c:v>
                </c:pt>
                <c:pt idx="94">
                  <c:v>5870.89991215398</c:v>
                </c:pt>
                <c:pt idx="95">
                  <c:v>5621.1212946942887</c:v>
                </c:pt>
                <c:pt idx="96">
                  <c:v>5372.0435462216101</c:v>
                </c:pt>
                <c:pt idx="97">
                  <c:v>2987.3192116480786</c:v>
                </c:pt>
                <c:pt idx="98">
                  <c:v>2992.3735972077811</c:v>
                </c:pt>
                <c:pt idx="99">
                  <c:v>2960.8543623138885</c:v>
                </c:pt>
                <c:pt idx="100">
                  <c:v>2862.0840185953302</c:v>
                </c:pt>
                <c:pt idx="101">
                  <c:v>2969.9558891331271</c:v>
                </c:pt>
                <c:pt idx="102">
                  <c:v>2892.0778761156726</c:v>
                </c:pt>
                <c:pt idx="103">
                  <c:v>2816.7070228909165</c:v>
                </c:pt>
                <c:pt idx="104">
                  <c:v>2859.3918478003948</c:v>
                </c:pt>
                <c:pt idx="105">
                  <c:v>2964.6030983715223</c:v>
                </c:pt>
                <c:pt idx="106">
                  <c:v>2883.1617964159809</c:v>
                </c:pt>
                <c:pt idx="107">
                  <c:v>2897.1419089133042</c:v>
                </c:pt>
                <c:pt idx="108">
                  <c:v>2807.7134215472174</c:v>
                </c:pt>
                <c:pt idx="109">
                  <c:v>2952.4252217069966</c:v>
                </c:pt>
                <c:pt idx="110">
                  <c:v>2888.5476675221598</c:v>
                </c:pt>
                <c:pt idx="111">
                  <c:v>2923.8747454889499</c:v>
                </c:pt>
                <c:pt idx="112">
                  <c:v>2964.2911367327356</c:v>
                </c:pt>
                <c:pt idx="113">
                  <c:v>2968.6670808952363</c:v>
                </c:pt>
                <c:pt idx="114">
                  <c:v>2963.2203531300452</c:v>
                </c:pt>
                <c:pt idx="115">
                  <c:v>2964.3844265150374</c:v>
                </c:pt>
                <c:pt idx="116">
                  <c:v>2932.5960235096159</c:v>
                </c:pt>
                <c:pt idx="117">
                  <c:v>2903.483276544021</c:v>
                </c:pt>
                <c:pt idx="118">
                  <c:v>2986.8336010673506</c:v>
                </c:pt>
                <c:pt idx="119">
                  <c:v>2965.6451797167169</c:v>
                </c:pt>
                <c:pt idx="120">
                  <c:v>2976.0555007635048</c:v>
                </c:pt>
                <c:pt idx="121">
                  <c:v>2938.3852804712064</c:v>
                </c:pt>
                <c:pt idx="122">
                  <c:v>2930.2537609986534</c:v>
                </c:pt>
                <c:pt idx="123">
                  <c:v>2912.4223034079932</c:v>
                </c:pt>
                <c:pt idx="124">
                  <c:v>2901.8616726764944</c:v>
                </c:pt>
                <c:pt idx="125">
                  <c:v>2759.1046456793674</c:v>
                </c:pt>
                <c:pt idx="126">
                  <c:v>2811.7431454828579</c:v>
                </c:pt>
                <c:pt idx="127">
                  <c:v>2944.7591311200267</c:v>
                </c:pt>
                <c:pt idx="128">
                  <c:v>2974.9759328778014</c:v>
                </c:pt>
                <c:pt idx="129">
                  <c:v>2959.2744880989558</c:v>
                </c:pt>
                <c:pt idx="130">
                  <c:v>2413.8246969899901</c:v>
                </c:pt>
                <c:pt idx="131">
                  <c:v>2434.5183475195836</c:v>
                </c:pt>
                <c:pt idx="132">
                  <c:v>2448.7681505288592</c:v>
                </c:pt>
                <c:pt idx="133">
                  <c:v>2455.0300024985863</c:v>
                </c:pt>
                <c:pt idx="134">
                  <c:v>1906.0700007148594</c:v>
                </c:pt>
                <c:pt idx="135">
                  <c:v>1643.5668140741877</c:v>
                </c:pt>
                <c:pt idx="136">
                  <c:v>4445.4484757036753</c:v>
                </c:pt>
                <c:pt idx="137">
                  <c:v>2746.4588647718547</c:v>
                </c:pt>
                <c:pt idx="138">
                  <c:v>2382.5370498169477</c:v>
                </c:pt>
                <c:pt idx="139">
                  <c:v>2332.1515661680733</c:v>
                </c:pt>
                <c:pt idx="140">
                  <c:v>2384.6476575463485</c:v>
                </c:pt>
                <c:pt idx="141">
                  <c:v>2426.2195605405122</c:v>
                </c:pt>
                <c:pt idx="142">
                  <c:v>2237.1116254522458</c:v>
                </c:pt>
                <c:pt idx="143">
                  <c:v>2298.2430418802578</c:v>
                </c:pt>
                <c:pt idx="144">
                  <c:v>1774.1674873037064</c:v>
                </c:pt>
                <c:pt idx="145">
                  <c:v>1812.3953985683804</c:v>
                </c:pt>
                <c:pt idx="146">
                  <c:v>1234.1895054697898</c:v>
                </c:pt>
                <c:pt idx="147">
                  <c:v>1676.166420833993</c:v>
                </c:pt>
                <c:pt idx="148">
                  <c:v>1714.5534261257239</c:v>
                </c:pt>
                <c:pt idx="149">
                  <c:v>1787.1585707022864</c:v>
                </c:pt>
                <c:pt idx="150">
                  <c:v>1949.693948754702</c:v>
                </c:pt>
                <c:pt idx="151">
                  <c:v>1919.9684577723192</c:v>
                </c:pt>
                <c:pt idx="152">
                  <c:v>1928.8528150115035</c:v>
                </c:pt>
                <c:pt idx="153">
                  <c:v>1877.5393150207979</c:v>
                </c:pt>
                <c:pt idx="154">
                  <c:v>1900.0358866490069</c:v>
                </c:pt>
                <c:pt idx="155">
                  <c:v>1886.9058189688471</c:v>
                </c:pt>
                <c:pt idx="156">
                  <c:v>1992.4905279230838</c:v>
                </c:pt>
                <c:pt idx="157">
                  <c:v>1927.6240355892755</c:v>
                </c:pt>
                <c:pt idx="158">
                  <c:v>5570.0639802270434</c:v>
                </c:pt>
                <c:pt idx="159">
                  <c:v>5319.2148904739879</c:v>
                </c:pt>
                <c:pt idx="160">
                  <c:v>1503.5664284666764</c:v>
                </c:pt>
                <c:pt idx="161">
                  <c:v>1318.2911020557804</c:v>
                </c:pt>
                <c:pt idx="162">
                  <c:v>1419.9508825252592</c:v>
                </c:pt>
                <c:pt idx="163">
                  <c:v>1518.6236497910099</c:v>
                </c:pt>
                <c:pt idx="164">
                  <c:v>1665.2288502085635</c:v>
                </c:pt>
                <c:pt idx="165">
                  <c:v>5279.9455413107808</c:v>
                </c:pt>
                <c:pt idx="166">
                  <c:v>4603.9062209095209</c:v>
                </c:pt>
                <c:pt idx="167">
                  <c:v>2076.3713281767914</c:v>
                </c:pt>
                <c:pt idx="168">
                  <c:v>2113.7556581120953</c:v>
                </c:pt>
                <c:pt idx="169">
                  <c:v>5688.4113938334922</c:v>
                </c:pt>
                <c:pt idx="170">
                  <c:v>2936.0312047549755</c:v>
                </c:pt>
                <c:pt idx="171">
                  <c:v>3637.8399802626641</c:v>
                </c:pt>
                <c:pt idx="172">
                  <c:v>3601.9832061830753</c:v>
                </c:pt>
                <c:pt idx="173">
                  <c:v>3598.1054298959966</c:v>
                </c:pt>
                <c:pt idx="174">
                  <c:v>3471.6808123783981</c:v>
                </c:pt>
                <c:pt idx="175">
                  <c:v>3484.2109186688867</c:v>
                </c:pt>
                <c:pt idx="176">
                  <c:v>1429.0565703133339</c:v>
                </c:pt>
                <c:pt idx="177">
                  <c:v>1475.9048832318826</c:v>
                </c:pt>
                <c:pt idx="178">
                  <c:v>1368.211695286222</c:v>
                </c:pt>
                <c:pt idx="179">
                  <c:v>1253.3672343990543</c:v>
                </c:pt>
                <c:pt idx="180">
                  <c:v>2255.8091187745322</c:v>
                </c:pt>
                <c:pt idx="181">
                  <c:v>2123.5850870672821</c:v>
                </c:pt>
                <c:pt idx="182">
                  <c:v>1283.4253968527787</c:v>
                </c:pt>
                <c:pt idx="183">
                  <c:v>3754.8606603927778</c:v>
                </c:pt>
                <c:pt idx="184">
                  <c:v>3860.5552274040451</c:v>
                </c:pt>
                <c:pt idx="185">
                  <c:v>1362.9555078104072</c:v>
                </c:pt>
                <c:pt idx="186">
                  <c:v>1495.5582390487361</c:v>
                </c:pt>
                <c:pt idx="187">
                  <c:v>1019.1374736616335</c:v>
                </c:pt>
                <c:pt idx="188">
                  <c:v>1276.5614721692218</c:v>
                </c:pt>
                <c:pt idx="189">
                  <c:v>1330.0167961132101</c:v>
                </c:pt>
                <c:pt idx="190">
                  <c:v>1362.7829366644191</c:v>
                </c:pt>
                <c:pt idx="191">
                  <c:v>5132.9026296998754</c:v>
                </c:pt>
                <c:pt idx="192">
                  <c:v>2121.9487769388215</c:v>
                </c:pt>
                <c:pt idx="193">
                  <c:v>1159.6747031961186</c:v>
                </c:pt>
                <c:pt idx="194">
                  <c:v>1476.1646493086605</c:v>
                </c:pt>
                <c:pt idx="195">
                  <c:v>1198.8060551452595</c:v>
                </c:pt>
                <c:pt idx="196">
                  <c:v>1274.2306552381315</c:v>
                </c:pt>
                <c:pt idx="197">
                  <c:v>2322.7935774120015</c:v>
                </c:pt>
                <c:pt idx="198">
                  <c:v>2296.5338311792466</c:v>
                </c:pt>
                <c:pt idx="199">
                  <c:v>2445.1691440881204</c:v>
                </c:pt>
                <c:pt idx="200">
                  <c:v>2302.5760996125182</c:v>
                </c:pt>
                <c:pt idx="201">
                  <c:v>2364.3754834137144</c:v>
                </c:pt>
                <c:pt idx="202">
                  <c:v>2391.66996459657</c:v>
                </c:pt>
                <c:pt idx="203">
                  <c:v>1685.576684524101</c:v>
                </c:pt>
                <c:pt idx="204">
                  <c:v>1226.6436502640586</c:v>
                </c:pt>
                <c:pt idx="205">
                  <c:v>868.62488924979152</c:v>
                </c:pt>
                <c:pt idx="206">
                  <c:v>1719.8755763158356</c:v>
                </c:pt>
                <c:pt idx="207">
                  <c:v>1819.2204025816432</c:v>
                </c:pt>
                <c:pt idx="208">
                  <c:v>1722.6817946684023</c:v>
                </c:pt>
                <c:pt idx="209">
                  <c:v>1700.9308838289749</c:v>
                </c:pt>
                <c:pt idx="210">
                  <c:v>1762.3707888199151</c:v>
                </c:pt>
                <c:pt idx="211">
                  <c:v>1784.8410858131715</c:v>
                </c:pt>
                <c:pt idx="212">
                  <c:v>1230.9606699735582</c:v>
                </c:pt>
                <c:pt idx="213">
                  <c:v>1239.4738030621888</c:v>
                </c:pt>
                <c:pt idx="214">
                  <c:v>2052.1143538629653</c:v>
                </c:pt>
                <c:pt idx="215">
                  <c:v>2077.0924961683318</c:v>
                </c:pt>
                <c:pt idx="216">
                  <c:v>1852.3668778846804</c:v>
                </c:pt>
                <c:pt idx="217">
                  <c:v>2085.5315353236424</c:v>
                </c:pt>
                <c:pt idx="218">
                  <c:v>2083.3003851538065</c:v>
                </c:pt>
                <c:pt idx="219">
                  <c:v>2100.7119968758752</c:v>
                </c:pt>
                <c:pt idx="220">
                  <c:v>2189.1674666383215</c:v>
                </c:pt>
                <c:pt idx="221">
                  <c:v>2296.4514638407354</c:v>
                </c:pt>
                <c:pt idx="222">
                  <c:v>1543.5978239052088</c:v>
                </c:pt>
                <c:pt idx="223">
                  <c:v>4802.2577392527701</c:v>
                </c:pt>
                <c:pt idx="224">
                  <c:v>2050.6648814014038</c:v>
                </c:pt>
                <c:pt idx="225">
                  <c:v>2387.032868799959</c:v>
                </c:pt>
                <c:pt idx="226">
                  <c:v>2364.3532926560711</c:v>
                </c:pt>
                <c:pt idx="227">
                  <c:v>2462.1583199727647</c:v>
                </c:pt>
                <c:pt idx="228">
                  <c:v>2378.0167278281515</c:v>
                </c:pt>
                <c:pt idx="229">
                  <c:v>1142.1757593035709</c:v>
                </c:pt>
                <c:pt idx="230">
                  <c:v>3911.0928970086111</c:v>
                </c:pt>
                <c:pt idx="231">
                  <c:v>3859.8260335765076</c:v>
                </c:pt>
                <c:pt idx="232">
                  <c:v>3897.7336605797809</c:v>
                </c:pt>
                <c:pt idx="233">
                  <c:v>3843.7700126604896</c:v>
                </c:pt>
                <c:pt idx="234">
                  <c:v>1602.6793243056372</c:v>
                </c:pt>
                <c:pt idx="235">
                  <c:v>1610.9896992072777</c:v>
                </c:pt>
                <c:pt idx="236">
                  <c:v>1679.3211421804253</c:v>
                </c:pt>
                <c:pt idx="237">
                  <c:v>1615.2740872694449</c:v>
                </c:pt>
                <c:pt idx="238">
                  <c:v>1627.6392521226871</c:v>
                </c:pt>
                <c:pt idx="239">
                  <c:v>1359.3813460163551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78-4FA1-B010-83ABD9FA5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8147008"/>
        <c:axId val="928149504"/>
      </c:scatterChart>
      <c:valAx>
        <c:axId val="928147008"/>
        <c:scaling>
          <c:orientation val="minMax"/>
          <c:max val="7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실제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28149504"/>
        <c:crosses val="autoZero"/>
        <c:crossBetween val="midCat"/>
      </c:valAx>
      <c:valAx>
        <c:axId val="928149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예측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28147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117963</xdr:colOff>
      <xdr:row>9</xdr:row>
      <xdr:rowOff>104042</xdr:rowOff>
    </xdr:from>
    <xdr:to>
      <xdr:col>4</xdr:col>
      <xdr:colOff>40298</xdr:colOff>
      <xdr:row>14</xdr:row>
      <xdr:rowOff>89388</xdr:rowOff>
    </xdr:to>
    <xdr:sp macro="" textlink="">
      <xdr:nvSpPr>
        <xdr:cNvPr id="2" name="직사각형 1"/>
        <xdr:cNvSpPr/>
      </xdr:nvSpPr>
      <xdr:spPr>
        <a:xfrm>
          <a:off x="2175363" y="1780442"/>
          <a:ext cx="608135" cy="103309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Wall</a:t>
          </a:r>
        </a:p>
        <a:p>
          <a:pPr algn="l"/>
          <a:endParaRPr lang="en-US" altLang="ko-KR" sz="1100"/>
        </a:p>
        <a:p>
          <a:pPr algn="l"/>
          <a:r>
            <a:rPr lang="en-US" altLang="ko-KR" sz="1100"/>
            <a:t>Ce</a:t>
          </a:r>
        </a:p>
        <a:p>
          <a:pPr algn="l"/>
          <a:r>
            <a:rPr lang="en-US" altLang="ko-KR" sz="1100"/>
            <a:t>Te</a:t>
          </a:r>
          <a:endParaRPr lang="ko-KR" altLang="en-US" sz="1100"/>
        </a:p>
      </xdr:txBody>
    </xdr:sp>
    <xdr:clientData/>
  </xdr:twoCellAnchor>
  <xdr:twoCellAnchor>
    <xdr:from>
      <xdr:col>4</xdr:col>
      <xdr:colOff>176578</xdr:colOff>
      <xdr:row>9</xdr:row>
      <xdr:rowOff>89388</xdr:rowOff>
    </xdr:from>
    <xdr:to>
      <xdr:col>5</xdr:col>
      <xdr:colOff>95983</xdr:colOff>
      <xdr:row>14</xdr:row>
      <xdr:rowOff>74734</xdr:rowOff>
    </xdr:to>
    <xdr:sp macro="" textlink="">
      <xdr:nvSpPr>
        <xdr:cNvPr id="3" name="직사각형 2"/>
        <xdr:cNvSpPr/>
      </xdr:nvSpPr>
      <xdr:spPr>
        <a:xfrm>
          <a:off x="2919778" y="1765788"/>
          <a:ext cx="605205" cy="103309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실내</a:t>
          </a:r>
          <a:endParaRPr lang="en-US" altLang="ko-KR" sz="1100"/>
        </a:p>
        <a:p>
          <a:pPr algn="l"/>
          <a:endParaRPr lang="en-US" altLang="ko-KR" sz="1100"/>
        </a:p>
        <a:p>
          <a:pPr algn="l"/>
          <a:r>
            <a:rPr lang="en-US" altLang="ko-KR" sz="1100"/>
            <a:t>Ci</a:t>
          </a:r>
        </a:p>
        <a:p>
          <a:pPr algn="l"/>
          <a:r>
            <a:rPr lang="en-US" altLang="ko-KR" sz="1100"/>
            <a:t>Ti</a:t>
          </a:r>
          <a:endParaRPr lang="ko-KR" altLang="en-US" sz="1100"/>
        </a:p>
      </xdr:txBody>
    </xdr:sp>
    <xdr:clientData/>
  </xdr:twoCellAnchor>
  <xdr:twoCellAnchor>
    <xdr:from>
      <xdr:col>2</xdr:col>
      <xdr:colOff>47625</xdr:colOff>
      <xdr:row>9</xdr:row>
      <xdr:rowOff>118695</xdr:rowOff>
    </xdr:from>
    <xdr:to>
      <xdr:col>2</xdr:col>
      <xdr:colOff>652829</xdr:colOff>
      <xdr:row>14</xdr:row>
      <xdr:rowOff>104041</xdr:rowOff>
    </xdr:to>
    <xdr:sp macro="" textlink="">
      <xdr:nvSpPr>
        <xdr:cNvPr id="4" name="직사각형 3"/>
        <xdr:cNvSpPr/>
      </xdr:nvSpPr>
      <xdr:spPr>
        <a:xfrm>
          <a:off x="1419225" y="1795095"/>
          <a:ext cx="605204" cy="103309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실외</a:t>
          </a:r>
          <a:endParaRPr lang="en-US" altLang="ko-KR" sz="1100"/>
        </a:p>
        <a:p>
          <a:pPr algn="l"/>
          <a:endParaRPr lang="en-US" altLang="ko-KR" sz="1100"/>
        </a:p>
        <a:p>
          <a:pPr algn="l"/>
          <a:r>
            <a:rPr lang="en-US" altLang="ko-KR" sz="1100"/>
            <a:t>To</a:t>
          </a:r>
          <a:endParaRPr lang="ko-KR" altLang="en-US" sz="1100"/>
        </a:p>
      </xdr:txBody>
    </xdr:sp>
    <xdr:clientData/>
  </xdr:twoCellAnchor>
  <xdr:twoCellAnchor>
    <xdr:from>
      <xdr:col>3</xdr:col>
      <xdr:colOff>25645</xdr:colOff>
      <xdr:row>8</xdr:row>
      <xdr:rowOff>60080</xdr:rowOff>
    </xdr:from>
    <xdr:to>
      <xdr:col>3</xdr:col>
      <xdr:colOff>25645</xdr:colOff>
      <xdr:row>15</xdr:row>
      <xdr:rowOff>133350</xdr:rowOff>
    </xdr:to>
    <xdr:cxnSp macro="">
      <xdr:nvCxnSpPr>
        <xdr:cNvPr id="5" name="직선 연결선 4"/>
        <xdr:cNvCxnSpPr/>
      </xdr:nvCxnSpPr>
      <xdr:spPr>
        <a:xfrm>
          <a:off x="2083045" y="1526930"/>
          <a:ext cx="0" cy="1540120"/>
        </a:xfrm>
        <a:prstGeom prst="line">
          <a:avLst/>
        </a:prstGeom>
        <a:ln w="38100">
          <a:solidFill>
            <a:srgbClr val="C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103310</xdr:colOff>
      <xdr:row>8</xdr:row>
      <xdr:rowOff>52753</xdr:rowOff>
    </xdr:from>
    <xdr:to>
      <xdr:col>4</xdr:col>
      <xdr:colOff>103310</xdr:colOff>
      <xdr:row>15</xdr:row>
      <xdr:rowOff>126023</xdr:rowOff>
    </xdr:to>
    <xdr:cxnSp macro="">
      <xdr:nvCxnSpPr>
        <xdr:cNvPr id="6" name="직선 연결선 5"/>
        <xdr:cNvCxnSpPr/>
      </xdr:nvCxnSpPr>
      <xdr:spPr>
        <a:xfrm>
          <a:off x="2846510" y="1519603"/>
          <a:ext cx="0" cy="1540120"/>
        </a:xfrm>
        <a:prstGeom prst="line">
          <a:avLst/>
        </a:prstGeom>
        <a:ln w="38100">
          <a:solidFill>
            <a:srgbClr val="C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</xdr:col>
      <xdr:colOff>550252</xdr:colOff>
      <xdr:row>7</xdr:row>
      <xdr:rowOff>38100</xdr:rowOff>
    </xdr:from>
    <xdr:ext cx="335669" cy="264560"/>
    <xdr:sp macro="" textlink="">
      <xdr:nvSpPr>
        <xdr:cNvPr id="7" name="TextBox 6"/>
        <xdr:cNvSpPr txBox="1"/>
      </xdr:nvSpPr>
      <xdr:spPr>
        <a:xfrm>
          <a:off x="1921852" y="1295400"/>
          <a:ext cx="33566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/>
            <a:t>Ro</a:t>
          </a:r>
          <a:endParaRPr lang="ko-KR" altLang="en-US" sz="1100"/>
        </a:p>
      </xdr:txBody>
    </xdr:sp>
    <xdr:clientData/>
  </xdr:oneCellAnchor>
  <xdr:oneCellAnchor>
    <xdr:from>
      <xdr:col>3</xdr:col>
      <xdr:colOff>506290</xdr:colOff>
      <xdr:row>7</xdr:row>
      <xdr:rowOff>60081</xdr:rowOff>
    </xdr:from>
    <xdr:ext cx="293670" cy="264560"/>
    <xdr:sp macro="" textlink="">
      <xdr:nvSpPr>
        <xdr:cNvPr id="8" name="TextBox 7"/>
        <xdr:cNvSpPr txBox="1"/>
      </xdr:nvSpPr>
      <xdr:spPr>
        <a:xfrm>
          <a:off x="2563690" y="1317381"/>
          <a:ext cx="29367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altLang="ko-KR" sz="1100"/>
            <a:t>Ri</a:t>
          </a:r>
          <a:endParaRPr lang="ko-KR" altLang="en-US" sz="1100"/>
        </a:p>
      </xdr:txBody>
    </xdr:sp>
    <xdr:clientData/>
  </xdr:oneCellAnchor>
  <xdr:oneCellAnchor>
    <xdr:from>
      <xdr:col>3</xdr:col>
      <xdr:colOff>0</xdr:colOff>
      <xdr:row>26</xdr:row>
      <xdr:rowOff>0</xdr:rowOff>
    </xdr:from>
    <xdr:ext cx="4342022" cy="31803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TextBox 16"/>
            <xdr:cNvSpPr txBox="1"/>
          </xdr:nvSpPr>
          <xdr:spPr>
            <a:xfrm>
              <a:off x="2057400" y="5238750"/>
              <a:ext cx="4342022" cy="3180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𝐶𝑒</m:t>
                    </m:r>
                    <m:d>
                      <m:dPr>
                        <m:ctrlPr>
                          <a:rPr lang="en-US" altLang="ko-KR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𝑇</m:t>
                        </m:r>
                        <m:r>
                          <a:rPr lang="en-US" altLang="ko-KR" sz="1100" b="0" i="1" baseline="-25000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100" b="0" i="1" baseline="-25000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altLang="ko-KR" sz="1100" b="0" i="1" baseline="-25000">
                            <a:latin typeface="Cambria Math" panose="02040503050406030204" pitchFamily="18" charset="0"/>
                          </a:rPr>
                          <m:t>𝑛</m:t>
                        </m:r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 − </m:t>
                        </m:r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𝑇𝑒</m:t>
                        </m:r>
                        <m:r>
                          <a:rPr lang="en-US" altLang="ko-KR" sz="1100" b="0" i="1" baseline="-25000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altLang="ko-KR" sz="1100" b="0" i="1" baseline="-25000">
                            <a:latin typeface="Cambria Math" panose="02040503050406030204" pitchFamily="18" charset="0"/>
                          </a:rPr>
                          <m:t>𝑛</m:t>
                        </m:r>
                        <m:r>
                          <a:rPr lang="en-US" altLang="ko-KR" sz="1100" b="0" i="1" baseline="-25000">
                            <a:latin typeface="Cambria Math" panose="02040503050406030204" pitchFamily="18" charset="0"/>
                          </a:rPr>
                          <m:t>−1</m:t>
                        </m:r>
                      </m:e>
                    </m:d>
                    <m:r>
                      <a:rPr lang="en-US" altLang="ko-KR" sz="110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altLang="ko-KR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m:rPr>
                            <m:sty m:val="p"/>
                          </m:rPr>
                          <a:rPr lang="en-US" altLang="ko-KR" sz="1100" i="1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num>
                      <m:den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𝑅𝑖</m:t>
                        </m:r>
                      </m:den>
                    </m:f>
                    <m:d>
                      <m:dPr>
                        <m:ctrlPr>
                          <a:rPr lang="en-US" altLang="ko-KR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𝑇</m:t>
                        </m:r>
                        <m:r>
                          <a:rPr lang="en-US" altLang="ko-KR" sz="1100" b="0" i="1" baseline="-25000">
                            <a:latin typeface="Cambria Math" panose="02040503050406030204" pitchFamily="18" charset="0"/>
                          </a:rPr>
                          <m:t>𝑖</m:t>
                        </m:r>
                        <m:r>
                          <a:rPr lang="en-US" altLang="ko-KR" sz="1100" b="0" i="1" baseline="-25000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altLang="ko-KR" sz="1100" b="0" i="1" baseline="-25000">
                            <a:latin typeface="Cambria Math" panose="02040503050406030204" pitchFamily="18" charset="0"/>
                          </a:rPr>
                          <m:t>𝑛</m:t>
                        </m:r>
                        <m:r>
                          <a:rPr lang="en-US" altLang="ko-KR" sz="1100" b="0" i="1" baseline="-25000">
                            <a:latin typeface="Cambria Math" panose="02040503050406030204" pitchFamily="18" charset="0"/>
                          </a:rPr>
                          <m:t>−1 − </m:t>
                        </m:r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𝑇𝑒</m:t>
                        </m:r>
                        <m:r>
                          <a:rPr lang="en-US" altLang="ko-KR" sz="1100" b="0" i="1" baseline="-25000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altLang="ko-KR" sz="1100" b="0" i="1" baseline="-25000">
                            <a:latin typeface="Cambria Math" panose="02040503050406030204" pitchFamily="18" charset="0"/>
                          </a:rPr>
                          <m:t>𝑛</m:t>
                        </m:r>
                        <m:r>
                          <a:rPr lang="en-US" altLang="ko-KR" sz="1100" b="0" i="1" baseline="-25000">
                            <a:latin typeface="Cambria Math" panose="02040503050406030204" pitchFamily="18" charset="0"/>
                          </a:rPr>
                          <m:t>−1</m:t>
                        </m:r>
                      </m:e>
                    </m:d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+ </m:t>
                    </m:r>
                    <m:f>
                      <m:fPr>
                        <m:ctrlPr>
                          <a:rPr lang="en-US" altLang="ko-KR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m:rPr>
                            <m:sty m:val="p"/>
                          </m:rPr>
                          <a:rPr lang="en-US" altLang="ko-KR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Δ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</m:t>
                        </m:r>
                      </m:num>
                      <m:den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𝑅𝑜</m:t>
                        </m:r>
                      </m:den>
                    </m:f>
                    <m:d>
                      <m:dPr>
                        <m:ctrlP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𝑇</m:t>
                        </m:r>
                        <m:r>
                          <a:rPr lang="en-US" altLang="ko-KR" sz="1100" b="0" i="1" baseline="-2500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𝑜</m:t>
                        </m:r>
                        <m:r>
                          <a:rPr lang="en-US" altLang="ko-KR" sz="1100" b="0" i="1" baseline="-2500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,</m:t>
                        </m:r>
                        <m:r>
                          <a:rPr lang="en-US" altLang="ko-KR" sz="1100" b="0" i="1" baseline="-2500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𝑛</m:t>
                        </m:r>
                        <m:r>
                          <a:rPr lang="en-US" altLang="ko-KR" sz="1100" b="0" i="1" baseline="-2500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−1 − 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𝑇𝑒</m:t>
                        </m:r>
                        <m:r>
                          <a:rPr lang="en-US" altLang="ko-KR" sz="1100" b="0" i="1" baseline="-2500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,</m:t>
                        </m:r>
                        <m:r>
                          <a:rPr lang="en-US" altLang="ko-KR" sz="1100" b="0" i="1" baseline="-2500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𝑛</m:t>
                        </m:r>
                        <m:r>
                          <a:rPr lang="en-US" altLang="ko-KR" sz="1100" b="0" i="1" baseline="-2500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−1</m:t>
                        </m:r>
                      </m:e>
                    </m:d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 </m:t>
                    </m:r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17" name="TextBox 16"/>
            <xdr:cNvSpPr txBox="1"/>
          </xdr:nvSpPr>
          <xdr:spPr>
            <a:xfrm>
              <a:off x="2057400" y="5238750"/>
              <a:ext cx="4342022" cy="3180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altLang="ko-KR" sz="1100" b="0" i="0">
                  <a:latin typeface="Cambria Math" panose="02040503050406030204" pitchFamily="18" charset="0"/>
                </a:rPr>
                <a:t>𝐶𝑒(𝑇</a:t>
              </a:r>
              <a:r>
                <a:rPr lang="en-US" altLang="ko-KR" sz="1100" b="0" i="0" baseline="-25000">
                  <a:latin typeface="Cambria Math" panose="02040503050406030204" pitchFamily="18" charset="0"/>
                </a:rPr>
                <a:t>𝑒,𝑛</a:t>
              </a:r>
              <a:r>
                <a:rPr lang="en-US" altLang="ko-KR" sz="1100" b="0" i="0">
                  <a:latin typeface="Cambria Math" panose="02040503050406030204" pitchFamily="18" charset="0"/>
                </a:rPr>
                <a:t> − 𝑇𝑒</a:t>
              </a:r>
              <a:r>
                <a:rPr lang="en-US" altLang="ko-KR" sz="1100" b="0" i="0" baseline="-25000">
                  <a:latin typeface="Cambria Math" panose="02040503050406030204" pitchFamily="18" charset="0"/>
                </a:rPr>
                <a:t>,𝑛−1)</a:t>
              </a:r>
              <a:r>
                <a:rPr lang="en-US" altLang="ko-KR" sz="1100" i="0">
                  <a:latin typeface="Cambria Math" panose="02040503050406030204" pitchFamily="18" charset="0"/>
                </a:rPr>
                <a:t>=Δ</a:t>
              </a:r>
              <a:r>
                <a:rPr lang="en-US" altLang="ko-KR" sz="1100" b="0" i="0">
                  <a:latin typeface="Cambria Math" panose="02040503050406030204" pitchFamily="18" charset="0"/>
                </a:rPr>
                <a:t>𝑡/𝑅𝑖 (𝑇</a:t>
              </a:r>
              <a:r>
                <a:rPr lang="en-US" altLang="ko-KR" sz="1100" b="0" i="0" baseline="-25000">
                  <a:latin typeface="Cambria Math" panose="02040503050406030204" pitchFamily="18" charset="0"/>
                </a:rPr>
                <a:t>𝑖,𝑛−1 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−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altLang="ko-KR" sz="1100" b="0" i="0">
                  <a:latin typeface="Cambria Math" panose="02040503050406030204" pitchFamily="18" charset="0"/>
                </a:rPr>
                <a:t>𝑇𝑒</a:t>
              </a:r>
              <a:r>
                <a:rPr lang="en-US" altLang="ko-KR" sz="1100" b="0" i="0" baseline="-25000">
                  <a:latin typeface="Cambria Math" panose="02040503050406030204" pitchFamily="18" charset="0"/>
                </a:rPr>
                <a:t>,𝑛−1)</a:t>
              </a:r>
              <a:r>
                <a:rPr lang="en-US" altLang="ko-KR" sz="1100" b="0" i="0">
                  <a:latin typeface="Cambria Math" panose="02040503050406030204" pitchFamily="18" charset="0"/>
                </a:rPr>
                <a:t>+ </a:t>
              </a:r>
              <a:r>
                <a:rPr lang="en-US" altLang="ko-KR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Δ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𝑡/𝑅𝑜 (𝑇</a:t>
              </a:r>
              <a:r>
                <a:rPr lang="en-US" altLang="ko-KR" sz="1100" b="0" i="0" baseline="-250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𝑜,𝑛−1 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−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𝑇𝑒</a:t>
              </a:r>
              <a:r>
                <a:rPr lang="en-US" altLang="ko-KR" sz="1100" b="0" i="0" baseline="-250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,𝑛−1) </a:t>
              </a:r>
              <a:r>
                <a:rPr lang="en-US" altLang="ko-KR" sz="1100" b="0" i="0">
                  <a:latin typeface="Cambria Math" panose="02040503050406030204" pitchFamily="18" charset="0"/>
                </a:rPr>
                <a:t> 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3</xdr:col>
      <xdr:colOff>0</xdr:colOff>
      <xdr:row>28</xdr:row>
      <xdr:rowOff>0</xdr:rowOff>
    </xdr:from>
    <xdr:ext cx="3982629" cy="31797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8" name="TextBox 17"/>
            <xdr:cNvSpPr txBox="1"/>
          </xdr:nvSpPr>
          <xdr:spPr>
            <a:xfrm>
              <a:off x="2057400" y="5962650"/>
              <a:ext cx="3982629" cy="3179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𝐶𝑖</m:t>
                    </m:r>
                    <m:d>
                      <m:dPr>
                        <m:ctrlPr>
                          <a:rPr lang="en-US" altLang="ko-KR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𝑇</m:t>
                        </m:r>
                        <m:r>
                          <a:rPr lang="en-US" altLang="ko-KR" sz="1100" b="0" i="1" baseline="-25000">
                            <a:latin typeface="Cambria Math" panose="02040503050406030204" pitchFamily="18" charset="0"/>
                          </a:rPr>
                          <m:t>𝑖</m:t>
                        </m:r>
                        <m:r>
                          <a:rPr lang="en-US" altLang="ko-KR" sz="1100" b="0" i="1" baseline="-25000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altLang="ko-KR" sz="1100" b="0" i="1" baseline="-25000">
                            <a:latin typeface="Cambria Math" panose="02040503050406030204" pitchFamily="18" charset="0"/>
                          </a:rPr>
                          <m:t>𝑛</m:t>
                        </m:r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 − </m:t>
                        </m:r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𝑇𝑖</m:t>
                        </m:r>
                        <m:r>
                          <a:rPr lang="en-US" altLang="ko-KR" sz="1100" b="0" i="1" baseline="-25000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altLang="ko-KR" sz="1100" b="0" i="1" baseline="-25000">
                            <a:latin typeface="Cambria Math" panose="02040503050406030204" pitchFamily="18" charset="0"/>
                          </a:rPr>
                          <m:t>𝑛</m:t>
                        </m:r>
                        <m:r>
                          <a:rPr lang="en-US" altLang="ko-KR" sz="1100" b="0" i="1" baseline="-25000">
                            <a:latin typeface="Cambria Math" panose="02040503050406030204" pitchFamily="18" charset="0"/>
                          </a:rPr>
                          <m:t>−1</m:t>
                        </m:r>
                      </m:e>
                    </m:d>
                    <m:r>
                      <a:rPr lang="en-US" altLang="ko-KR" sz="110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altLang="ko-KR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m:rPr>
                            <m:sty m:val="p"/>
                          </m:rPr>
                          <a:rPr lang="en-US" altLang="ko-KR" sz="1100" i="1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num>
                      <m:den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𝑅𝑖</m:t>
                        </m:r>
                      </m:den>
                    </m:f>
                    <m:d>
                      <m:dPr>
                        <m:ctrlPr>
                          <a:rPr lang="en-US" altLang="ko-KR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𝑇</m:t>
                        </m:r>
                        <m:r>
                          <a:rPr lang="en-US" altLang="ko-KR" sz="1100" b="0" i="1" baseline="-25000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100" b="0" i="1" baseline="-25000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altLang="ko-KR" sz="1100" b="0" i="1" baseline="-25000">
                            <a:latin typeface="Cambria Math" panose="02040503050406030204" pitchFamily="18" charset="0"/>
                          </a:rPr>
                          <m:t>𝑛</m:t>
                        </m:r>
                        <m:r>
                          <a:rPr lang="en-US" altLang="ko-KR" sz="1100" b="0" i="1" baseline="-25000">
                            <a:latin typeface="Cambria Math" panose="02040503050406030204" pitchFamily="18" charset="0"/>
                          </a:rPr>
                          <m:t>−1 − </m:t>
                        </m:r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𝑇𝑖</m:t>
                        </m:r>
                        <m:r>
                          <a:rPr lang="en-US" altLang="ko-KR" sz="1100" b="0" i="1" baseline="-25000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altLang="ko-KR" sz="1100" b="0" i="1" baseline="-25000">
                            <a:latin typeface="Cambria Math" panose="02040503050406030204" pitchFamily="18" charset="0"/>
                          </a:rPr>
                          <m:t>𝑛</m:t>
                        </m:r>
                        <m:r>
                          <a:rPr lang="en-US" altLang="ko-KR" sz="1100" b="0" i="1" baseline="-25000">
                            <a:latin typeface="Cambria Math" panose="02040503050406030204" pitchFamily="18" charset="0"/>
                          </a:rPr>
                          <m:t>−1 )+ </m:t>
                        </m:r>
                        <m:r>
                          <m:rPr>
                            <m:sty m:val="p"/>
                          </m:rPr>
                          <a:rPr lang="en-US" altLang="ko-KR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Δ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(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𝑓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1+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𝑓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  <m:r>
                          <m:rPr>
                            <m:nor/>
                          </m:rPr>
                          <a:rPr lang="en-US" altLang="ko-KR" b="0" i="0">
                            <a:effectLst/>
                          </a:rPr>
                          <m:t> + 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𝑒𝑟𝑟</m:t>
                        </m:r>
                      </m:e>
                    </m:d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18" name="TextBox 17"/>
            <xdr:cNvSpPr txBox="1"/>
          </xdr:nvSpPr>
          <xdr:spPr>
            <a:xfrm>
              <a:off x="2057400" y="5962650"/>
              <a:ext cx="3982629" cy="3179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altLang="ko-KR" sz="1100" b="0" i="0">
                  <a:latin typeface="Cambria Math" panose="02040503050406030204" pitchFamily="18" charset="0"/>
                </a:rPr>
                <a:t>𝐶𝑖(𝑇</a:t>
              </a:r>
              <a:r>
                <a:rPr lang="en-US" altLang="ko-KR" sz="1100" b="0" i="0" baseline="-25000">
                  <a:latin typeface="Cambria Math" panose="02040503050406030204" pitchFamily="18" charset="0"/>
                </a:rPr>
                <a:t>𝑖,𝑛</a:t>
              </a:r>
              <a:r>
                <a:rPr lang="en-US" altLang="ko-KR" sz="1100" b="0" i="0">
                  <a:latin typeface="Cambria Math" panose="02040503050406030204" pitchFamily="18" charset="0"/>
                </a:rPr>
                <a:t> − 𝑇𝑖</a:t>
              </a:r>
              <a:r>
                <a:rPr lang="en-US" altLang="ko-KR" sz="1100" b="0" i="0" baseline="-25000">
                  <a:latin typeface="Cambria Math" panose="02040503050406030204" pitchFamily="18" charset="0"/>
                </a:rPr>
                <a:t>,𝑛−1)</a:t>
              </a:r>
              <a:r>
                <a:rPr lang="en-US" altLang="ko-KR" sz="1100" i="0">
                  <a:latin typeface="Cambria Math" panose="02040503050406030204" pitchFamily="18" charset="0"/>
                </a:rPr>
                <a:t>=Δ</a:t>
              </a:r>
              <a:r>
                <a:rPr lang="en-US" altLang="ko-KR" sz="1100" b="0" i="0">
                  <a:latin typeface="Cambria Math" panose="02040503050406030204" pitchFamily="18" charset="0"/>
                </a:rPr>
                <a:t>𝑡/𝑅𝑖 (𝑇</a:t>
              </a:r>
              <a:r>
                <a:rPr lang="en-US" altLang="ko-KR" sz="1100" b="0" i="0" baseline="-25000">
                  <a:latin typeface="Cambria Math" panose="02040503050406030204" pitchFamily="18" charset="0"/>
                </a:rPr>
                <a:t>𝑒,𝑛−1 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−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altLang="ko-KR" sz="1100" b="0" i="0">
                  <a:latin typeface="Cambria Math" panose="02040503050406030204" pitchFamily="18" charset="0"/>
                </a:rPr>
                <a:t>𝑇𝑖</a:t>
              </a:r>
              <a:r>
                <a:rPr lang="en-US" altLang="ko-KR" sz="1100" b="0" i="0" baseline="-25000">
                  <a:latin typeface="Cambria Math" panose="02040503050406030204" pitchFamily="18" charset="0"/>
                </a:rPr>
                <a:t>,𝑛−1 )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+ </a:t>
              </a:r>
              <a:r>
                <a:rPr lang="en-US" altLang="ko-KR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Δ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𝑡 (𝑓1+𝑓2"</a:t>
              </a:r>
              <a:r>
                <a:rPr lang="en-US" altLang="ko-KR" b="0" i="0">
                  <a:effectLst/>
                </a:rPr>
                <a:t> + 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𝑒𝑟𝑟)</a:t>
              </a:r>
              <a:endParaRPr lang="ko-KR" altLang="en-US" sz="1100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34</xdr:row>
      <xdr:rowOff>0</xdr:rowOff>
    </xdr:from>
    <xdr:to>
      <xdr:col>9</xdr:col>
      <xdr:colOff>457200</xdr:colOff>
      <xdr:row>55</xdr:row>
      <xdr:rowOff>195945</xdr:rowOff>
    </xdr:to>
    <xdr:graphicFrame macro="">
      <xdr:nvGraphicFramePr>
        <xdr:cNvPr id="2" name="차트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34</xdr:row>
      <xdr:rowOff>0</xdr:rowOff>
    </xdr:from>
    <xdr:to>
      <xdr:col>17</xdr:col>
      <xdr:colOff>457200</xdr:colOff>
      <xdr:row>55</xdr:row>
      <xdr:rowOff>59391</xdr:rowOff>
    </xdr:to>
    <xdr:graphicFrame macro="">
      <xdr:nvGraphicFramePr>
        <xdr:cNvPr id="3" name="차트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odu1_&#45257;&#48169;_5&#48516;_230727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odu2_&#45257;&#48169;_5&#48516;_23072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Modeling_final"/>
      <sheetName val="최종데이타"/>
      <sheetName val="RawData"/>
      <sheetName val="Modeling_1"/>
      <sheetName val="Modeling_2"/>
    </sheetNames>
    <sheetDataSet>
      <sheetData sheetId="0" refreshError="1"/>
      <sheetData sheetId="1">
        <row r="1">
          <cell r="GL1" t="str">
            <v>소전 예측</v>
          </cell>
        </row>
        <row r="2">
          <cell r="EO2">
            <v>3450.7666666666601</v>
          </cell>
          <cell r="GL2">
            <v>3150.6599433268671</v>
          </cell>
        </row>
        <row r="3">
          <cell r="EO3">
            <v>2235.0666666666598</v>
          </cell>
          <cell r="GL3">
            <v>3003.0892778336197</v>
          </cell>
        </row>
        <row r="4">
          <cell r="EO4">
            <v>1327.3333333333301</v>
          </cell>
          <cell r="GL4">
            <v>1847.3595027763113</v>
          </cell>
        </row>
        <row r="5">
          <cell r="EO5">
            <v>3686.8333333333298</v>
          </cell>
          <cell r="GL5">
            <v>3483.6135094097708</v>
          </cell>
        </row>
        <row r="6">
          <cell r="EO6">
            <v>1813.06666666666</v>
          </cell>
          <cell r="GL6">
            <v>1581.7242778336199</v>
          </cell>
        </row>
        <row r="7">
          <cell r="EO7">
            <v>1833.5333333333299</v>
          </cell>
          <cell r="GL7">
            <v>1617.7000029005071</v>
          </cell>
        </row>
        <row r="8">
          <cell r="EO8">
            <v>1851.4</v>
          </cell>
          <cell r="GL8">
            <v>1674.6902419575058</v>
          </cell>
        </row>
        <row r="9">
          <cell r="EO9">
            <v>1775.7</v>
          </cell>
          <cell r="GL9">
            <v>1602.0172184856124</v>
          </cell>
        </row>
        <row r="10">
          <cell r="EO10">
            <v>3588.8</v>
          </cell>
          <cell r="GL10">
            <v>3717.1267295877701</v>
          </cell>
        </row>
        <row r="11">
          <cell r="EO11">
            <v>3624.5</v>
          </cell>
          <cell r="GL11">
            <v>3707.6478933942512</v>
          </cell>
        </row>
        <row r="12">
          <cell r="EO12">
            <v>3303.5666666666598</v>
          </cell>
          <cell r="GL12">
            <v>3580.4021139210827</v>
          </cell>
        </row>
        <row r="13">
          <cell r="EO13">
            <v>1778.7666666666601</v>
          </cell>
          <cell r="GL13">
            <v>1838.4297693455824</v>
          </cell>
        </row>
        <row r="14">
          <cell r="EO14">
            <v>4436.5666666666602</v>
          </cell>
          <cell r="GL14">
            <v>4032.4172734816402</v>
          </cell>
        </row>
        <row r="15">
          <cell r="EO15">
            <v>4091.63333333333</v>
          </cell>
          <cell r="GL15">
            <v>3887.5916354020119</v>
          </cell>
        </row>
        <row r="16">
          <cell r="EO16">
            <v>3347.86666666666</v>
          </cell>
          <cell r="GL16">
            <v>3491.8633530092766</v>
          </cell>
        </row>
        <row r="17">
          <cell r="EO17">
            <v>2982.5</v>
          </cell>
          <cell r="GL17">
            <v>3548.4302725860298</v>
          </cell>
        </row>
        <row r="18">
          <cell r="EO18">
            <v>1880.3333333333301</v>
          </cell>
          <cell r="GL18">
            <v>2171.5593770513242</v>
          </cell>
        </row>
        <row r="19">
          <cell r="EO19">
            <v>1948.7333333333299</v>
          </cell>
          <cell r="GL19">
            <v>2061.9821037295342</v>
          </cell>
        </row>
        <row r="20">
          <cell r="EO20">
            <v>1944.43333333333</v>
          </cell>
          <cell r="GL20">
            <v>2095.4930917998745</v>
          </cell>
        </row>
        <row r="21">
          <cell r="EO21">
            <v>1899.9666666666601</v>
          </cell>
          <cell r="GL21">
            <v>2046.1257948934481</v>
          </cell>
        </row>
        <row r="22">
          <cell r="EO22">
            <v>1870.8</v>
          </cell>
          <cell r="GL22">
            <v>2055.6317869637733</v>
          </cell>
        </row>
        <row r="23">
          <cell r="EO23">
            <v>1949.2</v>
          </cell>
          <cell r="GL23">
            <v>2183.0168761499826</v>
          </cell>
        </row>
        <row r="24">
          <cell r="EO24">
            <v>1933.8</v>
          </cell>
          <cell r="GL24">
            <v>2101.9091083780304</v>
          </cell>
        </row>
        <row r="25">
          <cell r="EO25">
            <v>1964.7</v>
          </cell>
          <cell r="GL25">
            <v>2117.9957241859229</v>
          </cell>
        </row>
        <row r="26">
          <cell r="EO26">
            <v>1962.6</v>
          </cell>
          <cell r="GL26">
            <v>2097.0961012435628</v>
          </cell>
        </row>
        <row r="27">
          <cell r="EO27">
            <v>1967</v>
          </cell>
          <cell r="GL27">
            <v>2158.5062918880094</v>
          </cell>
        </row>
        <row r="28">
          <cell r="EO28">
            <v>1386.4666666666601</v>
          </cell>
          <cell r="GL28">
            <v>1539.3139535300911</v>
          </cell>
        </row>
        <row r="29">
          <cell r="EO29">
            <v>1533.7666666666601</v>
          </cell>
          <cell r="GL29">
            <v>1633.4034316936195</v>
          </cell>
        </row>
        <row r="30">
          <cell r="EO30">
            <v>1386.9666666666601</v>
          </cell>
          <cell r="GL30">
            <v>1510.8241174173641</v>
          </cell>
        </row>
        <row r="31">
          <cell r="EO31">
            <v>1437.43333333333</v>
          </cell>
          <cell r="GL31">
            <v>1559.3843364609866</v>
          </cell>
        </row>
        <row r="32">
          <cell r="EO32">
            <v>1463.6</v>
          </cell>
          <cell r="GL32">
            <v>1460.0738487487893</v>
          </cell>
        </row>
        <row r="33">
          <cell r="EO33">
            <v>1163.3333333333301</v>
          </cell>
          <cell r="GL33">
            <v>1161.823009610885</v>
          </cell>
        </row>
        <row r="34">
          <cell r="EO34">
            <v>1060.3</v>
          </cell>
          <cell r="GL34">
            <v>1236.4983360939555</v>
          </cell>
        </row>
        <row r="35">
          <cell r="EO35">
            <v>1694</v>
          </cell>
          <cell r="GL35">
            <v>1170.2035366402733</v>
          </cell>
        </row>
        <row r="36">
          <cell r="EO36">
            <v>1727.4666666666601</v>
          </cell>
          <cell r="GL36">
            <v>1139.564998906902</v>
          </cell>
        </row>
        <row r="37">
          <cell r="EO37">
            <v>1772.3333333333301</v>
          </cell>
          <cell r="GL37">
            <v>1371.1762786172017</v>
          </cell>
        </row>
        <row r="38">
          <cell r="EO38">
            <v>1636.1</v>
          </cell>
          <cell r="GL38">
            <v>1215.2146074927709</v>
          </cell>
        </row>
        <row r="39">
          <cell r="EO39">
            <v>2065.1</v>
          </cell>
          <cell r="GL39">
            <v>2044.3844414845908</v>
          </cell>
        </row>
        <row r="40">
          <cell r="EO40">
            <v>1758.6</v>
          </cell>
          <cell r="GL40">
            <v>1694.9887495577414</v>
          </cell>
        </row>
        <row r="41">
          <cell r="EO41">
            <v>1711.63333333333</v>
          </cell>
          <cell r="GL41">
            <v>1788.019291154797</v>
          </cell>
        </row>
        <row r="42">
          <cell r="EO42">
            <v>1673.6666666666599</v>
          </cell>
          <cell r="GL42">
            <v>1907.2126893837603</v>
          </cell>
        </row>
        <row r="43">
          <cell r="EO43">
            <v>1672.6666666666599</v>
          </cell>
          <cell r="GL43">
            <v>1839.0679487475268</v>
          </cell>
        </row>
        <row r="44">
          <cell r="EO44">
            <v>1785.8</v>
          </cell>
          <cell r="GL44">
            <v>1769.2307259054783</v>
          </cell>
        </row>
        <row r="45">
          <cell r="EO45">
            <v>1695.93333333333</v>
          </cell>
          <cell r="GL45">
            <v>1805.4450049258394</v>
          </cell>
        </row>
        <row r="46">
          <cell r="EO46">
            <v>3553.7</v>
          </cell>
          <cell r="GL46">
            <v>3023.3822184856122</v>
          </cell>
        </row>
        <row r="47">
          <cell r="EO47">
            <v>3398.7333333333299</v>
          </cell>
          <cell r="GL47">
            <v>3145.8108546293574</v>
          </cell>
        </row>
        <row r="48">
          <cell r="EO48">
            <v>3156.5</v>
          </cell>
          <cell r="GL48">
            <v>3147.4265447871962</v>
          </cell>
        </row>
        <row r="49">
          <cell r="EO49">
            <v>2114.2666666666601</v>
          </cell>
          <cell r="GL49">
            <v>2419.8830236633303</v>
          </cell>
        </row>
        <row r="50">
          <cell r="EO50">
            <v>2089.8333333333298</v>
          </cell>
          <cell r="GL50">
            <v>2121.7169585340516</v>
          </cell>
        </row>
        <row r="51">
          <cell r="EO51">
            <v>1415.1</v>
          </cell>
          <cell r="GL51">
            <v>1747.9415186944816</v>
          </cell>
        </row>
        <row r="52">
          <cell r="EO52">
            <v>1496.2666666666601</v>
          </cell>
          <cell r="GL52">
            <v>1842.714086522994</v>
          </cell>
        </row>
        <row r="53">
          <cell r="EO53">
            <v>1782.4666666666601</v>
          </cell>
          <cell r="GL53">
            <v>1573.9476008520928</v>
          </cell>
        </row>
        <row r="54">
          <cell r="EO54">
            <v>1867</v>
          </cell>
          <cell r="GL54">
            <v>1676.2853373587036</v>
          </cell>
        </row>
        <row r="55">
          <cell r="EO55">
            <v>1820.2</v>
          </cell>
          <cell r="GL55">
            <v>1706.717504140986</v>
          </cell>
        </row>
        <row r="56">
          <cell r="EO56">
            <v>1735.2</v>
          </cell>
          <cell r="GL56">
            <v>1639.7632874514161</v>
          </cell>
        </row>
        <row r="57">
          <cell r="EO57">
            <v>1714.36666666666</v>
          </cell>
          <cell r="GL57">
            <v>1639.2699203708585</v>
          </cell>
        </row>
        <row r="58">
          <cell r="EO58">
            <v>1547.2666666666601</v>
          </cell>
          <cell r="GL58">
            <v>1594.0382739304287</v>
          </cell>
        </row>
        <row r="59">
          <cell r="EO59">
            <v>1553.4666666666601</v>
          </cell>
          <cell r="GL59">
            <v>1655.4492786172013</v>
          </cell>
        </row>
        <row r="60">
          <cell r="EO60">
            <v>1508.86666666666</v>
          </cell>
          <cell r="GL60">
            <v>1545.0375754661786</v>
          </cell>
        </row>
        <row r="61">
          <cell r="EO61">
            <v>1460.6666666666599</v>
          </cell>
          <cell r="GL61">
            <v>1636.3355518602089</v>
          </cell>
        </row>
        <row r="62">
          <cell r="EO62">
            <v>1554.3333333333301</v>
          </cell>
          <cell r="GL62">
            <v>1634.8692109319395</v>
          </cell>
        </row>
        <row r="63">
          <cell r="EO63">
            <v>2031</v>
          </cell>
          <cell r="GL63">
            <v>2320.5529795877701</v>
          </cell>
        </row>
        <row r="64">
          <cell r="EO64">
            <v>2051.6</v>
          </cell>
          <cell r="GL64">
            <v>2151.8800443248861</v>
          </cell>
        </row>
        <row r="65">
          <cell r="EO65">
            <v>2088</v>
          </cell>
          <cell r="GL65">
            <v>2150.3662558576052</v>
          </cell>
        </row>
        <row r="66">
          <cell r="EO66">
            <v>2121.6</v>
          </cell>
          <cell r="GL66">
            <v>2253.1291837784547</v>
          </cell>
        </row>
        <row r="67">
          <cell r="EO67">
            <v>2132.3333333333298</v>
          </cell>
          <cell r="GL67">
            <v>2264.0253119397239</v>
          </cell>
        </row>
        <row r="68">
          <cell r="EO68">
            <v>2324.9333333333302</v>
          </cell>
          <cell r="GL68">
            <v>1984.4929019606552</v>
          </cell>
        </row>
        <row r="69">
          <cell r="EO69">
            <v>2104</v>
          </cell>
          <cell r="GL69">
            <v>2079.882704190703</v>
          </cell>
        </row>
        <row r="70">
          <cell r="EO70">
            <v>2579.1666666666601</v>
          </cell>
          <cell r="GL70">
            <v>2132.2471319709603</v>
          </cell>
        </row>
        <row r="71">
          <cell r="EO71">
            <v>3735.4</v>
          </cell>
          <cell r="GL71">
            <v>3798.6848365194428</v>
          </cell>
        </row>
        <row r="72">
          <cell r="EO72">
            <v>3429.1666666666601</v>
          </cell>
          <cell r="GL72">
            <v>3348.0484596485117</v>
          </cell>
        </row>
        <row r="73">
          <cell r="EO73">
            <v>3292.1</v>
          </cell>
          <cell r="GL73">
            <v>3319.2310941697147</v>
          </cell>
        </row>
        <row r="74">
          <cell r="EO74">
            <v>3347.8333333333298</v>
          </cell>
          <cell r="GL74">
            <v>3320.9203639210823</v>
          </cell>
        </row>
        <row r="75">
          <cell r="EO75">
            <v>3410.4</v>
          </cell>
          <cell r="GL75">
            <v>3377.0797582012351</v>
          </cell>
        </row>
        <row r="76">
          <cell r="EO76">
            <v>3251</v>
          </cell>
          <cell r="GL76">
            <v>3319.2310941695573</v>
          </cell>
        </row>
        <row r="77">
          <cell r="EO77">
            <v>3191.3</v>
          </cell>
          <cell r="GL77">
            <v>3349.7502322144032</v>
          </cell>
        </row>
        <row r="78">
          <cell r="EO78">
            <v>3199.2</v>
          </cell>
          <cell r="GL78">
            <v>3397.7028612847721</v>
          </cell>
        </row>
        <row r="79">
          <cell r="EO79">
            <v>2914.86666666666</v>
          </cell>
          <cell r="GL79">
            <v>3270.5575063809479</v>
          </cell>
        </row>
        <row r="80">
          <cell r="EO80">
            <v>3062.5</v>
          </cell>
          <cell r="GL80">
            <v>3353.1560004577218</v>
          </cell>
        </row>
        <row r="81">
          <cell r="EO81">
            <v>3063.1</v>
          </cell>
          <cell r="GL81">
            <v>3348.0484596485117</v>
          </cell>
        </row>
        <row r="82">
          <cell r="EO82">
            <v>2918.2333333333299</v>
          </cell>
          <cell r="GL82">
            <v>3363.391133522447</v>
          </cell>
        </row>
        <row r="83">
          <cell r="EO83">
            <v>2871.6666666666601</v>
          </cell>
          <cell r="GL83">
            <v>3329.3776851807402</v>
          </cell>
        </row>
        <row r="84">
          <cell r="EO84">
            <v>2937.4</v>
          </cell>
          <cell r="GL84">
            <v>3366.808803466181</v>
          </cell>
        </row>
        <row r="85">
          <cell r="EO85">
            <v>2854.9</v>
          </cell>
          <cell r="GL85">
            <v>3339.5506883468911</v>
          </cell>
        </row>
        <row r="86">
          <cell r="EO86">
            <v>1842.9666666666601</v>
          </cell>
          <cell r="GL86">
            <v>2313.490806331798</v>
          </cell>
        </row>
        <row r="87">
          <cell r="EO87">
            <v>1535.06666666666</v>
          </cell>
          <cell r="GL87">
            <v>1481.1375288309855</v>
          </cell>
        </row>
        <row r="88">
          <cell r="EO88">
            <v>2046.5333333333299</v>
          </cell>
          <cell r="GL88">
            <v>2189.9196196485254</v>
          </cell>
        </row>
        <row r="89">
          <cell r="EO89">
            <v>2415.1666666666601</v>
          </cell>
          <cell r="GL89">
            <v>2471.5590385197584</v>
          </cell>
        </row>
        <row r="90">
          <cell r="EO90">
            <v>2305.4666666666599</v>
          </cell>
          <cell r="GL90">
            <v>2191.449048624841</v>
          </cell>
        </row>
        <row r="91">
          <cell r="EO91">
            <v>1168.1666666666599</v>
          </cell>
          <cell r="GL91">
            <v>583.70374922757128</v>
          </cell>
        </row>
        <row r="92">
          <cell r="EO92">
            <v>2232.1666666666601</v>
          </cell>
          <cell r="GL92">
            <v>2336.6073554345671</v>
          </cell>
        </row>
        <row r="93">
          <cell r="EO93">
            <v>2064.6</v>
          </cell>
          <cell r="GL93">
            <v>2062.0924665798934</v>
          </cell>
        </row>
        <row r="94">
          <cell r="EO94">
            <v>2470.2333333333299</v>
          </cell>
          <cell r="GL94">
            <v>1773.6431274801603</v>
          </cell>
        </row>
        <row r="95">
          <cell r="EO95">
            <v>2124</v>
          </cell>
          <cell r="GL95">
            <v>1743.9841424727069</v>
          </cell>
        </row>
        <row r="96">
          <cell r="EO96">
            <v>2113.63333333333</v>
          </cell>
          <cell r="GL96">
            <v>1722.2749964658365</v>
          </cell>
        </row>
        <row r="97">
          <cell r="EO97">
            <v>2162.13333333333</v>
          </cell>
          <cell r="GL97">
            <v>1792.493061036796</v>
          </cell>
        </row>
        <row r="98">
          <cell r="EO98">
            <v>2075.36666666666</v>
          </cell>
          <cell r="GL98">
            <v>1828.8808110403374</v>
          </cell>
        </row>
        <row r="99">
          <cell r="EO99">
            <v>2207.6999999999998</v>
          </cell>
          <cell r="GL99">
            <v>1840.0235527864556</v>
          </cell>
        </row>
        <row r="100">
          <cell r="EO100">
            <v>1992.2666666666601</v>
          </cell>
          <cell r="GL100">
            <v>1855.9975351540229</v>
          </cell>
        </row>
        <row r="101">
          <cell r="EO101">
            <v>1954.7333333333299</v>
          </cell>
          <cell r="GL101">
            <v>1833.6523483982651</v>
          </cell>
        </row>
        <row r="102">
          <cell r="EO102">
            <v>1935.86666666666</v>
          </cell>
          <cell r="GL102">
            <v>1875.2535802259786</v>
          </cell>
        </row>
        <row r="103">
          <cell r="EO103">
            <v>1808.1</v>
          </cell>
          <cell r="GL103">
            <v>1808.2718106036887</v>
          </cell>
        </row>
        <row r="104">
          <cell r="EO104">
            <v>1829.7666666666601</v>
          </cell>
          <cell r="GL104">
            <v>1827.2916037295104</v>
          </cell>
        </row>
        <row r="105">
          <cell r="EO105">
            <v>1856.93333333333</v>
          </cell>
          <cell r="GL105">
            <v>1844.8088394915371</v>
          </cell>
        </row>
        <row r="106">
          <cell r="EO106">
            <v>1859.4</v>
          </cell>
          <cell r="GL106">
            <v>1860.8025917998743</v>
          </cell>
        </row>
        <row r="107">
          <cell r="EO107">
            <v>1765.4666666666601</v>
          </cell>
          <cell r="GL107">
            <v>1820.9412869637731</v>
          </cell>
        </row>
        <row r="108">
          <cell r="EO108">
            <v>1852.7666666666601</v>
          </cell>
          <cell r="GL108">
            <v>1835.2441676505455</v>
          </cell>
        </row>
        <row r="109">
          <cell r="EO109">
            <v>1880</v>
          </cell>
          <cell r="GL109">
            <v>1859.2002446422507</v>
          </cell>
        </row>
        <row r="110">
          <cell r="EO110">
            <v>1845.9666666666601</v>
          </cell>
          <cell r="GL110">
            <v>1809.8532295876835</v>
          </cell>
        </row>
        <row r="111">
          <cell r="EO111">
            <v>1866.6</v>
          </cell>
          <cell r="GL111">
            <v>1846.4052488581851</v>
          </cell>
        </row>
        <row r="112">
          <cell r="EO112">
            <v>1880.6</v>
          </cell>
          <cell r="GL112">
            <v>1828.8808110403374</v>
          </cell>
        </row>
        <row r="113">
          <cell r="EO113">
            <v>1796.5</v>
          </cell>
          <cell r="GL113">
            <v>1816.1853736436401</v>
          </cell>
        </row>
        <row r="114">
          <cell r="EO114">
            <v>1822.7</v>
          </cell>
          <cell r="GL114">
            <v>1830.4706705911035</v>
          </cell>
        </row>
        <row r="115">
          <cell r="EO115">
            <v>1895.6</v>
          </cell>
          <cell r="GL115">
            <v>1886.5305643678635</v>
          </cell>
        </row>
        <row r="116">
          <cell r="EO116">
            <v>1859.5</v>
          </cell>
          <cell r="GL116">
            <v>1808.2718106036887</v>
          </cell>
        </row>
        <row r="117">
          <cell r="EO117">
            <v>1849.4666666666601</v>
          </cell>
          <cell r="GL117">
            <v>1822.5278902737587</v>
          </cell>
        </row>
        <row r="118">
          <cell r="EO118">
            <v>1828.2</v>
          </cell>
          <cell r="GL118">
            <v>1509.2350824777382</v>
          </cell>
        </row>
        <row r="119">
          <cell r="EO119">
            <v>1555.5333333333299</v>
          </cell>
          <cell r="GL119">
            <v>1662.8261914391742</v>
          </cell>
        </row>
        <row r="120">
          <cell r="EO120">
            <v>1568.4666666666601</v>
          </cell>
          <cell r="GL120">
            <v>1543.6058640366978</v>
          </cell>
        </row>
        <row r="121">
          <cell r="EO121">
            <v>1598.7</v>
          </cell>
          <cell r="GL121">
            <v>1562.2601764344822</v>
          </cell>
        </row>
        <row r="122">
          <cell r="EO122">
            <v>4568</v>
          </cell>
          <cell r="GL122">
            <v>4071.0732369763987</v>
          </cell>
        </row>
        <row r="123">
          <cell r="EO123">
            <v>3961.0333333333301</v>
          </cell>
          <cell r="GL123">
            <v>3948.2413529123501</v>
          </cell>
        </row>
        <row r="124">
          <cell r="EO124">
            <v>4134.2</v>
          </cell>
          <cell r="GL124">
            <v>4090.5710418880094</v>
          </cell>
        </row>
        <row r="125">
          <cell r="EO125">
            <v>4384.6000000000004</v>
          </cell>
          <cell r="GL125">
            <v>4255.2655809608641</v>
          </cell>
        </row>
        <row r="126">
          <cell r="EO126">
            <v>4214.3666666666604</v>
          </cell>
          <cell r="GL126">
            <v>4301.4146985733241</v>
          </cell>
        </row>
        <row r="127">
          <cell r="EO127">
            <v>4222.6333333333296</v>
          </cell>
          <cell r="GL127">
            <v>4043.6178231946801</v>
          </cell>
        </row>
        <row r="128">
          <cell r="EO128">
            <v>1787.7</v>
          </cell>
          <cell r="GL128">
            <v>1539.9151577297721</v>
          </cell>
        </row>
        <row r="129">
          <cell r="EO129">
            <v>1773.4666666666601</v>
          </cell>
          <cell r="GL129">
            <v>1587.9569141075049</v>
          </cell>
        </row>
        <row r="130">
          <cell r="EO130">
            <v>1705.06666666666</v>
          </cell>
          <cell r="GL130">
            <v>1721.2164899383129</v>
          </cell>
        </row>
        <row r="131">
          <cell r="EO131">
            <v>1780.13333333333</v>
          </cell>
          <cell r="GL131">
            <v>1797.8252300476129</v>
          </cell>
        </row>
        <row r="132">
          <cell r="EO132">
            <v>2042.3333333333301</v>
          </cell>
          <cell r="GL132">
            <v>1938.392075466179</v>
          </cell>
        </row>
        <row r="133">
          <cell r="EO133">
            <v>1967.8</v>
          </cell>
          <cell r="GL133">
            <v>2115.7126512443315</v>
          </cell>
        </row>
        <row r="134">
          <cell r="EO134">
            <v>920.93333333333305</v>
          </cell>
          <cell r="GL134">
            <v>1543.6058640366978</v>
          </cell>
        </row>
        <row r="135">
          <cell r="EO135">
            <v>2384.4</v>
          </cell>
          <cell r="GL135">
            <v>1981.5952299566325</v>
          </cell>
        </row>
        <row r="136">
          <cell r="EO136">
            <v>1976.8333333333301</v>
          </cell>
          <cell r="GL136">
            <v>1854.8289667237045</v>
          </cell>
        </row>
        <row r="137">
          <cell r="EO137">
            <v>4094.86666666666</v>
          </cell>
          <cell r="GL137">
            <v>3315.6244149383124</v>
          </cell>
        </row>
        <row r="138">
          <cell r="EO138">
            <v>3647.7</v>
          </cell>
          <cell r="GL138">
            <v>3022.9460373587035</v>
          </cell>
        </row>
        <row r="139">
          <cell r="EO139">
            <v>1960.63333333333</v>
          </cell>
          <cell r="GL139">
            <v>2037.5480234816405</v>
          </cell>
        </row>
        <row r="140">
          <cell r="EO140">
            <v>2112.7333333333299</v>
          </cell>
          <cell r="GL140">
            <v>2039.1523590229253</v>
          </cell>
        </row>
        <row r="141">
          <cell r="EO141">
            <v>2064.8333333333298</v>
          </cell>
          <cell r="GL141">
            <v>1969.1824176855971</v>
          </cell>
        </row>
        <row r="142">
          <cell r="EO142">
            <v>2014.86666666666</v>
          </cell>
          <cell r="GL142">
            <v>1996.0666402737588</v>
          </cell>
        </row>
        <row r="143">
          <cell r="EO143">
            <v>2962.9333333333302</v>
          </cell>
          <cell r="GL143">
            <v>2866.9930944256662</v>
          </cell>
        </row>
        <row r="144">
          <cell r="EO144">
            <v>1679</v>
          </cell>
          <cell r="GL144">
            <v>1944.0491370750524</v>
          </cell>
        </row>
        <row r="145">
          <cell r="EO145">
            <v>1661.6666666666599</v>
          </cell>
          <cell r="GL145">
            <v>1970.7586836721712</v>
          </cell>
        </row>
        <row r="146">
          <cell r="EO146">
            <v>1860.4</v>
          </cell>
          <cell r="GL146">
            <v>2002.4195610403694</v>
          </cell>
        </row>
        <row r="147">
          <cell r="EO147">
            <v>2003.8333333333301</v>
          </cell>
          <cell r="GL147">
            <v>2050.4013231946801</v>
          </cell>
        </row>
        <row r="148">
          <cell r="EO148">
            <v>1398.7333333333299</v>
          </cell>
          <cell r="GL148">
            <v>1868.0803015415308</v>
          </cell>
        </row>
        <row r="149">
          <cell r="EO149">
            <v>1606.93333333333</v>
          </cell>
          <cell r="GL149">
            <v>1922.1907778336199</v>
          </cell>
        </row>
        <row r="150">
          <cell r="EO150">
            <v>2659.4333333333302</v>
          </cell>
          <cell r="GL150">
            <v>2809.5568664304033</v>
          </cell>
        </row>
        <row r="151">
          <cell r="EO151">
            <v>1650.8</v>
          </cell>
          <cell r="GL151">
            <v>1940.9189336705003</v>
          </cell>
        </row>
        <row r="152">
          <cell r="EO152">
            <v>1762.6</v>
          </cell>
          <cell r="GL152">
            <v>1981.8105606036888</v>
          </cell>
        </row>
        <row r="153">
          <cell r="EO153">
            <v>2007.43333333333</v>
          </cell>
          <cell r="GL153">
            <v>2031.1373092625608</v>
          </cell>
        </row>
        <row r="154">
          <cell r="EO154">
            <v>1717.1666666666599</v>
          </cell>
          <cell r="GL154">
            <v>1774.6175220558907</v>
          </cell>
        </row>
        <row r="155">
          <cell r="EO155">
            <v>1571.4</v>
          </cell>
          <cell r="GL155">
            <v>1758.5907187235371</v>
          </cell>
        </row>
        <row r="156">
          <cell r="EO156">
            <v>1396.7</v>
          </cell>
          <cell r="GL156">
            <v>1723.563279141862</v>
          </cell>
        </row>
        <row r="157">
          <cell r="EO157">
            <v>4315.0666666666602</v>
          </cell>
          <cell r="GL157">
            <v>3896.613531924058</v>
          </cell>
        </row>
        <row r="158">
          <cell r="EO158">
            <v>3601.63333333333</v>
          </cell>
          <cell r="GL158">
            <v>3581.7482122193446</v>
          </cell>
        </row>
        <row r="159">
          <cell r="EO159">
            <v>4224.2</v>
          </cell>
          <cell r="GL159">
            <v>3808.1185474114427</v>
          </cell>
        </row>
        <row r="160">
          <cell r="EO160">
            <v>4142.5333333333301</v>
          </cell>
          <cell r="GL160">
            <v>3850.2058481981339</v>
          </cell>
        </row>
        <row r="161">
          <cell r="EO161">
            <v>4210.8333333333303</v>
          </cell>
          <cell r="GL161">
            <v>3888.7750736091648</v>
          </cell>
        </row>
        <row r="162">
          <cell r="EO162">
            <v>4019.4</v>
          </cell>
          <cell r="GL162">
            <v>3780.6667719380434</v>
          </cell>
        </row>
        <row r="163">
          <cell r="EO163">
            <v>3436.9333333333302</v>
          </cell>
          <cell r="GL163">
            <v>3560.2508907897477</v>
          </cell>
        </row>
        <row r="164">
          <cell r="EO164">
            <v>3500.2333333333299</v>
          </cell>
          <cell r="GL164">
            <v>3591.2196020386696</v>
          </cell>
        </row>
        <row r="165">
          <cell r="EO165">
            <v>3546.4333333333302</v>
          </cell>
          <cell r="GL165">
            <v>3688.9865846543184</v>
          </cell>
        </row>
        <row r="166">
          <cell r="EO166">
            <v>2741.5333333333301</v>
          </cell>
          <cell r="GL166">
            <v>3001.0807224114428</v>
          </cell>
        </row>
        <row r="167">
          <cell r="EO167">
            <v>3084.1666666666601</v>
          </cell>
          <cell r="GL167">
            <v>2982.8227865014319</v>
          </cell>
        </row>
        <row r="168">
          <cell r="EO168">
            <v>3114.5666666666598</v>
          </cell>
          <cell r="GL168">
            <v>3083.4658309608717</v>
          </cell>
        </row>
        <row r="169">
          <cell r="EO169">
            <v>2915</v>
          </cell>
          <cell r="GL169">
            <v>3078.3715981981336</v>
          </cell>
        </row>
        <row r="170">
          <cell r="EO170">
            <v>2907.6</v>
          </cell>
          <cell r="GL170">
            <v>3021.0964710162903</v>
          </cell>
        </row>
        <row r="171">
          <cell r="EO171">
            <v>2860.2</v>
          </cell>
          <cell r="GL171">
            <v>3103.9093835224471</v>
          </cell>
        </row>
        <row r="172">
          <cell r="EO172">
            <v>2800.7</v>
          </cell>
          <cell r="GL172">
            <v>2979.5123327923334</v>
          </cell>
        </row>
        <row r="173">
          <cell r="EO173">
            <v>2775.4</v>
          </cell>
          <cell r="GL173">
            <v>3029.4667725859986</v>
          </cell>
        </row>
        <row r="174">
          <cell r="EO174">
            <v>3039.0333333333301</v>
          </cell>
          <cell r="GL174">
            <v>3037.8550652775489</v>
          </cell>
        </row>
        <row r="175">
          <cell r="EO175">
            <v>1795.06666666666</v>
          </cell>
          <cell r="GL175">
            <v>1775.2104502491634</v>
          </cell>
        </row>
        <row r="176">
          <cell r="EO176">
            <v>4233.6000000000004</v>
          </cell>
          <cell r="GL176">
            <v>3544.1997399383131</v>
          </cell>
        </row>
        <row r="177">
          <cell r="EO177">
            <v>4040.9</v>
          </cell>
          <cell r="GL177">
            <v>3324.5863400307876</v>
          </cell>
        </row>
        <row r="178">
          <cell r="EO178">
            <v>5064.3</v>
          </cell>
          <cell r="GL178">
            <v>4448.442674325177</v>
          </cell>
        </row>
        <row r="179">
          <cell r="EO179">
            <v>4583.3333333333303</v>
          </cell>
          <cell r="GL179">
            <v>4486.6870152641004</v>
          </cell>
        </row>
        <row r="180">
          <cell r="EO180">
            <v>4977.7</v>
          </cell>
          <cell r="GL180">
            <v>4550.9244665840151</v>
          </cell>
        </row>
        <row r="181">
          <cell r="EO181">
            <v>4483.6333333333296</v>
          </cell>
          <cell r="GL181">
            <v>4244.6543592938515</v>
          </cell>
        </row>
        <row r="182">
          <cell r="EO182">
            <v>4479.3999999999996</v>
          </cell>
          <cell r="GL182">
            <v>4261.6272205408441</v>
          </cell>
        </row>
        <row r="183">
          <cell r="EO183">
            <v>4210.2666666666601</v>
          </cell>
          <cell r="GL183">
            <v>4222.9985484497493</v>
          </cell>
        </row>
        <row r="184">
          <cell r="EO184">
            <v>4115.2666666666601</v>
          </cell>
          <cell r="GL184">
            <v>4321.8100815067692</v>
          </cell>
        </row>
        <row r="185">
          <cell r="EO185">
            <v>4084.63333333333</v>
          </cell>
          <cell r="GL185">
            <v>4320.0375186384044</v>
          </cell>
        </row>
        <row r="186">
          <cell r="EO186">
            <v>3912.2</v>
          </cell>
          <cell r="GL186">
            <v>4246.4643929592321</v>
          </cell>
        </row>
        <row r="187">
          <cell r="EO187">
            <v>4020.6666666666601</v>
          </cell>
          <cell r="GL187">
            <v>4076.3901775978538</v>
          </cell>
        </row>
        <row r="188">
          <cell r="EO188">
            <v>4226.3333333333303</v>
          </cell>
          <cell r="GL188">
            <v>4128.7520423215046</v>
          </cell>
        </row>
        <row r="189">
          <cell r="EO189">
            <v>4357.9666666666599</v>
          </cell>
          <cell r="GL189">
            <v>4230.2039362947071</v>
          </cell>
        </row>
        <row r="190">
          <cell r="EO190">
            <v>4419.2</v>
          </cell>
          <cell r="GL190">
            <v>4244.6543592938515</v>
          </cell>
        </row>
        <row r="191">
          <cell r="EO191">
            <v>4530.4666666666599</v>
          </cell>
          <cell r="GL191">
            <v>4376.1500172300994</v>
          </cell>
        </row>
        <row r="192">
          <cell r="EO192">
            <v>4315.8</v>
          </cell>
          <cell r="GL192">
            <v>4212.215119135366</v>
          </cell>
        </row>
        <row r="193">
          <cell r="EO193">
            <v>4432.8</v>
          </cell>
          <cell r="GL193">
            <v>4339.6336123687943</v>
          </cell>
        </row>
        <row r="194">
          <cell r="EO194">
            <v>4174.0666666666602</v>
          </cell>
          <cell r="GL194">
            <v>4208.6271942312342</v>
          </cell>
        </row>
        <row r="195">
          <cell r="EO195">
            <v>4457.5333333333301</v>
          </cell>
          <cell r="GL195">
            <v>4299.0881118829348</v>
          </cell>
        </row>
        <row r="196">
          <cell r="EO196">
            <v>4204.6333333333296</v>
          </cell>
          <cell r="GL196">
            <v>4253.7128492277279</v>
          </cell>
        </row>
        <row r="197">
          <cell r="EO197">
            <v>4282.8333333333303</v>
          </cell>
          <cell r="GL197">
            <v>4194.3081035566993</v>
          </cell>
        </row>
        <row r="198">
          <cell r="EO198">
            <v>4276.1333333333296</v>
          </cell>
          <cell r="GL198">
            <v>4279.3467206404757</v>
          </cell>
        </row>
        <row r="199">
          <cell r="EO199">
            <v>2982.7</v>
          </cell>
          <cell r="GL199">
            <v>2833.2517444506648</v>
          </cell>
        </row>
        <row r="200">
          <cell r="EO200">
            <v>2006.5333333333299</v>
          </cell>
          <cell r="GL200">
            <v>1987.775850567853</v>
          </cell>
        </row>
        <row r="201">
          <cell r="EO201">
            <v>1990.9</v>
          </cell>
          <cell r="GL201">
            <v>1715.6464795876836</v>
          </cell>
        </row>
        <row r="202">
          <cell r="EO202">
            <v>1916.6</v>
          </cell>
          <cell r="GL202">
            <v>1798.7825447871965</v>
          </cell>
        </row>
        <row r="203">
          <cell r="EO203">
            <v>1812.93333333333</v>
          </cell>
          <cell r="GL203">
            <v>1768.1988512435628</v>
          </cell>
        </row>
        <row r="204">
          <cell r="EO204">
            <v>1746.7333333333299</v>
          </cell>
          <cell r="GL204">
            <v>1662.2376457918481</v>
          </cell>
        </row>
        <row r="205">
          <cell r="EO205">
            <v>2154.9</v>
          </cell>
          <cell r="GL205">
            <v>1922.6727536466688</v>
          </cell>
        </row>
        <row r="206">
          <cell r="EO206">
            <v>2071.6999999999998</v>
          </cell>
          <cell r="GL206">
            <v>2115.7126512443315</v>
          </cell>
        </row>
        <row r="207">
          <cell r="EO207">
            <v>2431.63333333333</v>
          </cell>
          <cell r="GL207">
            <v>2117.1761063904123</v>
          </cell>
        </row>
        <row r="208">
          <cell r="EO208">
            <v>2669.4</v>
          </cell>
          <cell r="GL208">
            <v>2219.0575481618234</v>
          </cell>
        </row>
        <row r="209">
          <cell r="EO209">
            <v>2709.86666666666</v>
          </cell>
          <cell r="GL209">
            <v>2255.7601012435625</v>
          </cell>
        </row>
        <row r="210">
          <cell r="EO210">
            <v>2301.2333333333299</v>
          </cell>
          <cell r="GL210">
            <v>2124.9184683509748</v>
          </cell>
        </row>
        <row r="211">
          <cell r="EO211">
            <v>2102.3333333333298</v>
          </cell>
          <cell r="GL211">
            <v>2118.723336522994</v>
          </cell>
        </row>
        <row r="212">
          <cell r="EO212">
            <v>1920</v>
          </cell>
          <cell r="GL212">
            <v>2165.4309399145559</v>
          </cell>
        </row>
        <row r="213">
          <cell r="EO213">
            <v>2006.2333333333299</v>
          </cell>
          <cell r="GL213">
            <v>2143.5637442724028</v>
          </cell>
        </row>
        <row r="214">
          <cell r="EO214">
            <v>2126.3333333333298</v>
          </cell>
          <cell r="GL214">
            <v>2227.006848398265</v>
          </cell>
        </row>
        <row r="215">
          <cell r="EO215">
            <v>2147.8000000000002</v>
          </cell>
          <cell r="GL215">
            <v>2184.2732194060545</v>
          </cell>
        </row>
        <row r="216">
          <cell r="EO216">
            <v>2298.6999999999998</v>
          </cell>
          <cell r="GL216">
            <v>2233.3780527864556</v>
          </cell>
        </row>
        <row r="217">
          <cell r="EO217">
            <v>2095.9666666666599</v>
          </cell>
          <cell r="GL217">
            <v>2196.8859266886175</v>
          </cell>
        </row>
        <row r="218">
          <cell r="EO218">
            <v>2270.6666666666601</v>
          </cell>
          <cell r="GL218">
            <v>2042.1126866750049</v>
          </cell>
        </row>
        <row r="219">
          <cell r="EO219">
            <v>2278</v>
          </cell>
          <cell r="GL219">
            <v>2139.7863907462711</v>
          </cell>
        </row>
        <row r="220">
          <cell r="EO220">
            <v>4157.1333333333296</v>
          </cell>
          <cell r="GL220">
            <v>3328.5410486248411</v>
          </cell>
        </row>
        <row r="221">
          <cell r="EO221">
            <v>4247.3333333333303</v>
          </cell>
          <cell r="GL221">
            <v>3521.4370041409861</v>
          </cell>
        </row>
        <row r="222">
          <cell r="EO222">
            <v>4603.8</v>
          </cell>
          <cell r="GL222">
            <v>4565.3188354385193</v>
          </cell>
        </row>
        <row r="223">
          <cell r="EO223">
            <v>4130.8666666666604</v>
          </cell>
          <cell r="GL223">
            <v>4455.0253772322194</v>
          </cell>
        </row>
        <row r="224">
          <cell r="EO224">
            <v>2115.6666666666601</v>
          </cell>
          <cell r="GL224">
            <v>2246.9166020212779</v>
          </cell>
        </row>
        <row r="225">
          <cell r="EO225">
            <v>3244.6</v>
          </cell>
          <cell r="GL225">
            <v>3299.5852784038634</v>
          </cell>
        </row>
        <row r="226">
          <cell r="EO226">
            <v>2078.6</v>
          </cell>
          <cell r="GL226">
            <v>2214.4636366928462</v>
          </cell>
        </row>
        <row r="227">
          <cell r="EO227">
            <v>2997.4</v>
          </cell>
          <cell r="GL227">
            <v>3412.0442634624683</v>
          </cell>
        </row>
        <row r="228">
          <cell r="EO228">
            <v>2963.5333333333301</v>
          </cell>
          <cell r="GL228">
            <v>3449.7443381013859</v>
          </cell>
        </row>
        <row r="229">
          <cell r="EO229">
            <v>3157.0333333333301</v>
          </cell>
          <cell r="GL229">
            <v>3515.0103583778259</v>
          </cell>
        </row>
        <row r="230">
          <cell r="EO230">
            <v>2617</v>
          </cell>
          <cell r="GL230">
            <v>2962.8205907863717</v>
          </cell>
        </row>
        <row r="231">
          <cell r="EO231">
            <v>2320.2333333333299</v>
          </cell>
          <cell r="GL231">
            <v>2970.5319996575458</v>
          </cell>
        </row>
        <row r="232">
          <cell r="EO232">
            <v>2698.86666666666</v>
          </cell>
          <cell r="GL232">
            <v>2932.735667685597</v>
          </cell>
        </row>
        <row r="233">
          <cell r="EO233">
            <v>1592.6666666666599</v>
          </cell>
          <cell r="GL233">
            <v>1762.6896271209057</v>
          </cell>
        </row>
        <row r="234">
          <cell r="EO234">
            <v>1583.8333333333301</v>
          </cell>
          <cell r="GL234">
            <v>1762.6896271209057</v>
          </cell>
        </row>
        <row r="235">
          <cell r="EO235">
            <v>1747.5</v>
          </cell>
          <cell r="GL235">
            <v>1787.7719571144867</v>
          </cell>
        </row>
        <row r="236">
          <cell r="EO236">
            <v>2792.6666666666601</v>
          </cell>
          <cell r="GL236">
            <v>2954.8620291416337</v>
          </cell>
        </row>
        <row r="237">
          <cell r="EO237">
            <v>1498.6</v>
          </cell>
          <cell r="GL237">
            <v>1783.0566088685559</v>
          </cell>
        </row>
        <row r="238">
          <cell r="EO238">
            <v>1828.06666666666</v>
          </cell>
          <cell r="GL238">
            <v>2149.7988957918478</v>
          </cell>
        </row>
        <row r="239">
          <cell r="EO239">
            <v>876.3</v>
          </cell>
          <cell r="GL239">
            <v>528.95341233793397</v>
          </cell>
        </row>
        <row r="240">
          <cell r="EO240">
            <v>4220.8333333333303</v>
          </cell>
          <cell r="GL240">
            <v>3573.7751433940539</v>
          </cell>
        </row>
        <row r="241">
          <cell r="EO241">
            <v>4402.8999999999996</v>
          </cell>
          <cell r="GL241">
            <v>3573.139553186109</v>
          </cell>
        </row>
        <row r="242">
          <cell r="EO242">
            <v>4407.8</v>
          </cell>
          <cell r="GL242">
            <v>3682.5701713013518</v>
          </cell>
        </row>
        <row r="243">
          <cell r="EO243">
            <v>4102.3999999999996</v>
          </cell>
          <cell r="GL243">
            <v>3551.6403546075981</v>
          </cell>
        </row>
        <row r="244">
          <cell r="EO244">
            <v>4174.6000000000004</v>
          </cell>
          <cell r="GL244">
            <v>3504.7229831287627</v>
          </cell>
        </row>
        <row r="245">
          <cell r="EO245">
            <v>2449.0666666666598</v>
          </cell>
          <cell r="GL245">
            <v>2264.1774373129429</v>
          </cell>
        </row>
        <row r="246">
          <cell r="EO246">
            <v>2382.3000000000002</v>
          </cell>
          <cell r="GL246">
            <v>2233.0944314043791</v>
          </cell>
        </row>
        <row r="247">
          <cell r="EO247">
            <v>2382</v>
          </cell>
          <cell r="GL247">
            <v>2153.5327395300374</v>
          </cell>
        </row>
        <row r="248">
          <cell r="EO248">
            <v>2454.6999999999998</v>
          </cell>
          <cell r="GL248">
            <v>2170.3346164915965</v>
          </cell>
        </row>
        <row r="249">
          <cell r="EO249">
            <v>2121.6666666666601</v>
          </cell>
          <cell r="GL249">
            <v>2062.3946100404673</v>
          </cell>
        </row>
        <row r="250">
          <cell r="EO250">
            <v>2202.5</v>
          </cell>
          <cell r="GL250">
            <v>2128.4647869792061</v>
          </cell>
        </row>
        <row r="251">
          <cell r="EO251">
            <v>2803.1666666666601</v>
          </cell>
          <cell r="GL251">
            <v>2862.5099942724028</v>
          </cell>
        </row>
        <row r="252">
          <cell r="EO252">
            <v>3708.4</v>
          </cell>
          <cell r="GL252">
            <v>2923.7360448934478</v>
          </cell>
        </row>
        <row r="253">
          <cell r="EO253">
            <v>3009</v>
          </cell>
          <cell r="GL253">
            <v>3116.7626215455421</v>
          </cell>
        </row>
        <row r="254">
          <cell r="EO254">
            <v>2519.9333333333302</v>
          </cell>
          <cell r="GL254">
            <v>2429.2988512437119</v>
          </cell>
        </row>
        <row r="255">
          <cell r="EO255">
            <v>1411.0333333333299</v>
          </cell>
          <cell r="GL255">
            <v>1436.3420579105814</v>
          </cell>
        </row>
        <row r="256">
          <cell r="EO256">
            <v>1376.6</v>
          </cell>
          <cell r="GL256">
            <v>1546.4698248101963</v>
          </cell>
        </row>
        <row r="257">
          <cell r="EO257">
            <v>1391.0333333333299</v>
          </cell>
          <cell r="GL257">
            <v>1607.1150049258395</v>
          </cell>
        </row>
        <row r="258">
          <cell r="EO258">
            <v>1365.5</v>
          </cell>
          <cell r="GL258">
            <v>1421.0649090295547</v>
          </cell>
        </row>
        <row r="259">
          <cell r="EO259">
            <v>3960.3333333333298</v>
          </cell>
          <cell r="GL259">
            <v>3429.2778529123029</v>
          </cell>
        </row>
        <row r="260">
          <cell r="EO260">
            <v>3994.4666666666599</v>
          </cell>
          <cell r="GL260">
            <v>3505.390309262561</v>
          </cell>
        </row>
        <row r="261">
          <cell r="EO261">
            <v>2128.2666666666601</v>
          </cell>
          <cell r="GL261">
            <v>2219.0830907863719</v>
          </cell>
        </row>
        <row r="262">
          <cell r="EO262">
            <v>3146.0666666666598</v>
          </cell>
          <cell r="GL262">
            <v>3245.312444972441</v>
          </cell>
        </row>
        <row r="263">
          <cell r="EO263">
            <v>2081.5333333333301</v>
          </cell>
          <cell r="GL263">
            <v>2051.7528390930252</v>
          </cell>
        </row>
        <row r="264">
          <cell r="EO264">
            <v>2122.6666666666601</v>
          </cell>
          <cell r="GL264">
            <v>2056.1806914391746</v>
          </cell>
        </row>
        <row r="265">
          <cell r="EO265">
            <v>2274.0666666666598</v>
          </cell>
          <cell r="GL265">
            <v>1916.9726780696069</v>
          </cell>
        </row>
        <row r="266">
          <cell r="EO266">
            <v>2197.3000000000002</v>
          </cell>
          <cell r="GL266">
            <v>2017.9750295970525</v>
          </cell>
        </row>
        <row r="267">
          <cell r="EO267">
            <v>2709.4</v>
          </cell>
          <cell r="GL267">
            <v>2365.6900920796629</v>
          </cell>
        </row>
        <row r="268">
          <cell r="EO268">
            <v>2891.4</v>
          </cell>
          <cell r="GL268">
            <v>3145.3217558576048</v>
          </cell>
        </row>
        <row r="269">
          <cell r="EO269">
            <v>2320.3000000000002</v>
          </cell>
          <cell r="GL269">
            <v>2295.3584092546603</v>
          </cell>
        </row>
        <row r="270">
          <cell r="EO270">
            <v>2437.6999999999998</v>
          </cell>
          <cell r="GL270">
            <v>2442.1468302259786</v>
          </cell>
        </row>
        <row r="271">
          <cell r="EO271">
            <v>4298.5666666666602</v>
          </cell>
          <cell r="GL271">
            <v>3275.7994878250606</v>
          </cell>
        </row>
        <row r="272">
          <cell r="EO272">
            <v>4164.6000000000004</v>
          </cell>
          <cell r="GL272">
            <v>3453.8468743701837</v>
          </cell>
        </row>
        <row r="273">
          <cell r="EO273">
            <v>4235.8</v>
          </cell>
          <cell r="GL273">
            <v>3556.5610454377661</v>
          </cell>
        </row>
        <row r="274">
          <cell r="EO274">
            <v>4246</v>
          </cell>
          <cell r="GL274">
            <v>3647.5670652571403</v>
          </cell>
        </row>
        <row r="275">
          <cell r="EO275">
            <v>4276.7</v>
          </cell>
          <cell r="GL275">
            <v>3927.0216535094382</v>
          </cell>
        </row>
        <row r="276">
          <cell r="EO276">
            <v>4269</v>
          </cell>
          <cell r="GL276">
            <v>4022.6686734008836</v>
          </cell>
        </row>
        <row r="277">
          <cell r="EO277">
            <v>4619</v>
          </cell>
          <cell r="GL277">
            <v>4211.0621495489249</v>
          </cell>
        </row>
        <row r="278">
          <cell r="EO278">
            <v>4145.1666666666597</v>
          </cell>
          <cell r="GL278">
            <v>4008.8036305451969</v>
          </cell>
        </row>
        <row r="279">
          <cell r="EO279">
            <v>3487.36666666666</v>
          </cell>
          <cell r="GL279">
            <v>3971.473881124356</v>
          </cell>
        </row>
        <row r="280">
          <cell r="EO280">
            <v>3389.7666666666601</v>
          </cell>
          <cell r="GL280">
            <v>3915.3474143284388</v>
          </cell>
        </row>
        <row r="281">
          <cell r="EO281">
            <v>3486.86666666666</v>
          </cell>
          <cell r="GL281">
            <v>3969.6654365189506</v>
          </cell>
        </row>
        <row r="282">
          <cell r="EO282">
            <v>3470.2666666666601</v>
          </cell>
          <cell r="GL282">
            <v>3976.1958511268112</v>
          </cell>
        </row>
        <row r="283">
          <cell r="EO283">
            <v>3525.1666666666601</v>
          </cell>
          <cell r="GL283">
            <v>3999.6633736019267</v>
          </cell>
        </row>
        <row r="284">
          <cell r="EO284">
            <v>3590.7</v>
          </cell>
          <cell r="GL284">
            <v>4007.0124444741605</v>
          </cell>
        </row>
        <row r="285">
          <cell r="EO285">
            <v>3831.3333333333298</v>
          </cell>
          <cell r="GL285">
            <v>4073.1242661109645</v>
          </cell>
        </row>
        <row r="286">
          <cell r="EO286">
            <v>3397.0666666666598</v>
          </cell>
          <cell r="GL286">
            <v>3923.233987686699</v>
          </cell>
        </row>
        <row r="287">
          <cell r="EO287">
            <v>3458.9</v>
          </cell>
          <cell r="GL287">
            <v>3881.5771865718989</v>
          </cell>
        </row>
        <row r="288">
          <cell r="EO288">
            <v>2736.1666666666601</v>
          </cell>
          <cell r="GL288">
            <v>1961.6065833181656</v>
          </cell>
        </row>
        <row r="289">
          <cell r="EO289">
            <v>3225.5666666666598</v>
          </cell>
          <cell r="GL289">
            <v>2341.8540134206423</v>
          </cell>
        </row>
        <row r="290">
          <cell r="EO290">
            <v>2538.7333333333299</v>
          </cell>
          <cell r="GL290">
            <v>2141.2615578249797</v>
          </cell>
        </row>
        <row r="291">
          <cell r="EO291">
            <v>2144.5666666666598</v>
          </cell>
          <cell r="GL291">
            <v>2211.6736844998004</v>
          </cell>
        </row>
        <row r="292">
          <cell r="EO292">
            <v>2135.5666666666598</v>
          </cell>
          <cell r="GL292">
            <v>2156.2473079739411</v>
          </cell>
        </row>
        <row r="293">
          <cell r="EO293">
            <v>2070.0666666666598</v>
          </cell>
          <cell r="GL293">
            <v>1543.9465630460727</v>
          </cell>
        </row>
        <row r="294">
          <cell r="EO294">
            <v>5205.8333333333303</v>
          </cell>
          <cell r="GL294">
            <v>3918.1825741452699</v>
          </cell>
        </row>
        <row r="295">
          <cell r="EO295">
            <v>4061.4</v>
          </cell>
          <cell r="GL295">
            <v>3857.6489909443462</v>
          </cell>
        </row>
        <row r="296">
          <cell r="EO296">
            <v>4011.5666666666598</v>
          </cell>
          <cell r="GL296">
            <v>3988.0069826841627</v>
          </cell>
        </row>
        <row r="297">
          <cell r="EO297">
            <v>3760.0333333333301</v>
          </cell>
          <cell r="GL297">
            <v>3901.0099103270095</v>
          </cell>
        </row>
        <row r="298">
          <cell r="EO298">
            <v>3614.7333333333299</v>
          </cell>
          <cell r="GL298">
            <v>3959.4246305751403</v>
          </cell>
        </row>
        <row r="299">
          <cell r="EO299">
            <v>3203.4</v>
          </cell>
          <cell r="GL299">
            <v>3769.2914948543666</v>
          </cell>
        </row>
        <row r="300">
          <cell r="EO300">
            <v>3187.2333333333299</v>
          </cell>
          <cell r="GL300">
            <v>3784.3476788791386</v>
          </cell>
        </row>
        <row r="301">
          <cell r="EO301">
            <v>2950.4</v>
          </cell>
          <cell r="GL301">
            <v>3621.8096785218427</v>
          </cell>
        </row>
        <row r="302">
          <cell r="EO302">
            <v>2885.7666666666601</v>
          </cell>
          <cell r="GL302">
            <v>3513.5710949756408</v>
          </cell>
        </row>
        <row r="303">
          <cell r="EO303">
            <v>3125.86666666666</v>
          </cell>
          <cell r="GL303">
            <v>3727.700092612235</v>
          </cell>
        </row>
        <row r="304">
          <cell r="EO304">
            <v>3020.8333333333298</v>
          </cell>
          <cell r="GL304">
            <v>3739.1804184040598</v>
          </cell>
        </row>
        <row r="305">
          <cell r="EO305">
            <v>3123.13333333333</v>
          </cell>
          <cell r="GL305">
            <v>3696.019810500306</v>
          </cell>
        </row>
        <row r="306">
          <cell r="EO306">
            <v>2054.1999999999998</v>
          </cell>
          <cell r="GL306">
            <v>2267.1441457918481</v>
          </cell>
        </row>
        <row r="307">
          <cell r="EO307">
            <v>2133.6666666666601</v>
          </cell>
          <cell r="GL307">
            <v>2314.2311766886178</v>
          </cell>
        </row>
        <row r="308">
          <cell r="EO308">
            <v>2170.3333333333298</v>
          </cell>
          <cell r="GL308">
            <v>2270.2654995943785</v>
          </cell>
        </row>
        <row r="309">
          <cell r="EO309">
            <v>2190.8000000000002</v>
          </cell>
          <cell r="GL309">
            <v>2366.0802469191822</v>
          </cell>
        </row>
        <row r="310">
          <cell r="EO310">
            <v>2336.3000000000002</v>
          </cell>
          <cell r="GL310">
            <v>2303.3988502391703</v>
          </cell>
        </row>
        <row r="311">
          <cell r="EO311">
            <v>2214.4666666666599</v>
          </cell>
          <cell r="GL311">
            <v>2244.4871486740149</v>
          </cell>
        </row>
        <row r="312">
          <cell r="EO312">
            <v>2117.9666666666599</v>
          </cell>
          <cell r="GL312">
            <v>2449.7937442927596</v>
          </cell>
        </row>
        <row r="313">
          <cell r="EO313">
            <v>2118.6999999999998</v>
          </cell>
          <cell r="GL313">
            <v>2188.1469859548956</v>
          </cell>
        </row>
        <row r="314">
          <cell r="EO314">
            <v>2170.63333333333</v>
          </cell>
          <cell r="GL314">
            <v>2289.1763626353659</v>
          </cell>
        </row>
        <row r="315">
          <cell r="EO315">
            <v>2125.5666666666598</v>
          </cell>
          <cell r="GL315">
            <v>2306.2094635174426</v>
          </cell>
        </row>
        <row r="316">
          <cell r="EO316">
            <v>2194.9</v>
          </cell>
          <cell r="GL316">
            <v>2422.9162304598494</v>
          </cell>
        </row>
        <row r="317">
          <cell r="EO317">
            <v>2093.8333333333298</v>
          </cell>
          <cell r="GL317">
            <v>2356.388855675571</v>
          </cell>
        </row>
        <row r="318">
          <cell r="EO318">
            <v>2171.6999999999998</v>
          </cell>
          <cell r="GL318">
            <v>2286.2314887929751</v>
          </cell>
        </row>
        <row r="319">
          <cell r="EO319">
            <v>2165.7666666666601</v>
          </cell>
          <cell r="GL319">
            <v>2426.5691081153109</v>
          </cell>
        </row>
        <row r="320">
          <cell r="EO320">
            <v>2132.1</v>
          </cell>
          <cell r="GL320">
            <v>2278.5194505224863</v>
          </cell>
        </row>
        <row r="321">
          <cell r="EO321">
            <v>2188.8333333333298</v>
          </cell>
          <cell r="GL321">
            <v>2381.0078049273661</v>
          </cell>
        </row>
        <row r="322">
          <cell r="EO322">
            <v>2138.8000000000002</v>
          </cell>
          <cell r="GL322">
            <v>2384.3393400735167</v>
          </cell>
        </row>
        <row r="323">
          <cell r="EO323">
            <v>2183.8333333333298</v>
          </cell>
          <cell r="GL323">
            <v>2358.1204887825024</v>
          </cell>
        </row>
        <row r="324">
          <cell r="EO324">
            <v>2133.2666666666601</v>
          </cell>
          <cell r="GL324">
            <v>2422.7206910565847</v>
          </cell>
        </row>
        <row r="325">
          <cell r="EO325">
            <v>2427.1666666666601</v>
          </cell>
          <cell r="GL325">
            <v>2386.9032887314124</v>
          </cell>
        </row>
        <row r="326">
          <cell r="EO326">
            <v>2096.36666666666</v>
          </cell>
          <cell r="GL326">
            <v>2379.8907211975738</v>
          </cell>
        </row>
        <row r="327">
          <cell r="EO327">
            <v>2181.3000000000002</v>
          </cell>
          <cell r="GL327">
            <v>2262.9181987232505</v>
          </cell>
        </row>
        <row r="328">
          <cell r="EO328">
            <v>2143.2333333333299</v>
          </cell>
          <cell r="GL328">
            <v>2411.3411419329377</v>
          </cell>
        </row>
        <row r="329">
          <cell r="EO329">
            <v>2152.8333333333298</v>
          </cell>
          <cell r="GL329">
            <v>2288.087766770358</v>
          </cell>
        </row>
        <row r="330">
          <cell r="EO330">
            <v>2163.63333333333</v>
          </cell>
          <cell r="GL330">
            <v>2488.3628905977157</v>
          </cell>
        </row>
        <row r="331">
          <cell r="EO331">
            <v>2125.6999999999998</v>
          </cell>
          <cell r="GL331">
            <v>2277.7790950004246</v>
          </cell>
        </row>
        <row r="332">
          <cell r="EO332">
            <v>2194</v>
          </cell>
          <cell r="GL332">
            <v>2360.5075225335422</v>
          </cell>
        </row>
        <row r="333">
          <cell r="EO333">
            <v>2148.7333333333299</v>
          </cell>
          <cell r="GL333">
            <v>2463.3161739675406</v>
          </cell>
        </row>
        <row r="334">
          <cell r="EO334">
            <v>2166</v>
          </cell>
          <cell r="GL334">
            <v>2383.3498778791791</v>
          </cell>
        </row>
        <row r="335">
          <cell r="EO335">
            <v>2113.3333333333298</v>
          </cell>
          <cell r="GL335">
            <v>2359.9660779806427</v>
          </cell>
        </row>
        <row r="336">
          <cell r="EO336">
            <v>2129.4</v>
          </cell>
          <cell r="GL336">
            <v>2319.204362827134</v>
          </cell>
        </row>
        <row r="337">
          <cell r="EO337">
            <v>2113.7666666666601</v>
          </cell>
          <cell r="GL337">
            <v>2295.3275029005072</v>
          </cell>
        </row>
        <row r="338">
          <cell r="EO338">
            <v>2112.36666666666</v>
          </cell>
          <cell r="GL338">
            <v>2294.0412335568799</v>
          </cell>
        </row>
        <row r="339">
          <cell r="EO339">
            <v>2114.5</v>
          </cell>
          <cell r="GL339">
            <v>2309.8035495367885</v>
          </cell>
        </row>
        <row r="340">
          <cell r="EO340">
            <v>2109.7666666666601</v>
          </cell>
          <cell r="GL340">
            <v>2336.9065251290222</v>
          </cell>
        </row>
        <row r="341">
          <cell r="EO341">
            <v>2243.63333333333</v>
          </cell>
          <cell r="GL341">
            <v>2363.653704330929</v>
          </cell>
        </row>
        <row r="342">
          <cell r="EO342">
            <v>2315.6666666666601</v>
          </cell>
          <cell r="GL342">
            <v>2328.3767545493865</v>
          </cell>
        </row>
        <row r="343">
          <cell r="EO343">
            <v>2100</v>
          </cell>
          <cell r="GL343">
            <v>2287.4781586986201</v>
          </cell>
        </row>
        <row r="344">
          <cell r="EO344">
            <v>2195.13333333333</v>
          </cell>
          <cell r="GL344">
            <v>2271.8271226558236</v>
          </cell>
        </row>
        <row r="345">
          <cell r="EO345">
            <v>2205.4666666666599</v>
          </cell>
          <cell r="GL345">
            <v>2430.5203603623586</v>
          </cell>
        </row>
        <row r="346">
          <cell r="EO346">
            <v>2302.1666666666601</v>
          </cell>
          <cell r="GL346">
            <v>2257.795189032895</v>
          </cell>
        </row>
        <row r="347">
          <cell r="EO347">
            <v>2139.5</v>
          </cell>
          <cell r="GL347">
            <v>2328.643267047687</v>
          </cell>
        </row>
        <row r="348">
          <cell r="EO348">
            <v>2134.6666666666601</v>
          </cell>
          <cell r="GL348">
            <v>2284.3428774802233</v>
          </cell>
        </row>
        <row r="349">
          <cell r="EO349">
            <v>2166.5333333333301</v>
          </cell>
          <cell r="GL349">
            <v>2314.2311766886178</v>
          </cell>
        </row>
        <row r="350">
          <cell r="EO350">
            <v>4343.4666666666599</v>
          </cell>
          <cell r="GL350">
            <v>3554.2467936354283</v>
          </cell>
        </row>
        <row r="351">
          <cell r="EO351">
            <v>3860</v>
          </cell>
          <cell r="GL351">
            <v>3521.513258746329</v>
          </cell>
        </row>
        <row r="352">
          <cell r="EO352">
            <v>4165.3</v>
          </cell>
          <cell r="GL352">
            <v>3620.0114478289852</v>
          </cell>
        </row>
        <row r="353">
          <cell r="EO353">
            <v>4307.3999999999996</v>
          </cell>
          <cell r="GL353">
            <v>3811.0584573491651</v>
          </cell>
        </row>
        <row r="354">
          <cell r="EO354">
            <v>4225.2</v>
          </cell>
          <cell r="GL354">
            <v>3877.1462120529559</v>
          </cell>
        </row>
        <row r="355">
          <cell r="EO355">
            <v>3365.13333333333</v>
          </cell>
          <cell r="GL355">
            <v>3708.8447733188</v>
          </cell>
        </row>
        <row r="356">
          <cell r="EO356">
            <v>3398.4333333333302</v>
          </cell>
          <cell r="GL356">
            <v>3601.9717397283066</v>
          </cell>
        </row>
        <row r="357">
          <cell r="EO357">
            <v>3415.5</v>
          </cell>
          <cell r="GL357">
            <v>3742.1964816107884</v>
          </cell>
        </row>
        <row r="358">
          <cell r="EO358">
            <v>3318.7</v>
          </cell>
          <cell r="GL358">
            <v>3604.5517853720012</v>
          </cell>
        </row>
        <row r="359">
          <cell r="EO359">
            <v>3409.5333333333301</v>
          </cell>
          <cell r="GL359">
            <v>3760.671427844964</v>
          </cell>
        </row>
        <row r="360">
          <cell r="EO360">
            <v>3684.7666666666601</v>
          </cell>
          <cell r="GL360">
            <v>3783.7801689694352</v>
          </cell>
        </row>
        <row r="361">
          <cell r="EO361">
            <v>3544.7</v>
          </cell>
          <cell r="GL361">
            <v>3880.5206580793474</v>
          </cell>
        </row>
        <row r="362">
          <cell r="EO362">
            <v>1530.2</v>
          </cell>
          <cell r="GL362">
            <v>1313.2233366386686</v>
          </cell>
        </row>
        <row r="363">
          <cell r="EO363">
            <v>1595</v>
          </cell>
          <cell r="GL363">
            <v>1333.9946918631695</v>
          </cell>
        </row>
        <row r="364">
          <cell r="EO364">
            <v>1594.06666666666</v>
          </cell>
          <cell r="GL364">
            <v>1482.6262464658366</v>
          </cell>
        </row>
        <row r="365">
          <cell r="EO365">
            <v>4303.3999999999996</v>
          </cell>
          <cell r="GL365">
            <v>3724.5510863009367</v>
          </cell>
        </row>
        <row r="366">
          <cell r="EO366">
            <v>4218.7666666666601</v>
          </cell>
          <cell r="GL366">
            <v>3790.8458526921436</v>
          </cell>
        </row>
        <row r="367">
          <cell r="EO367">
            <v>3747.3</v>
          </cell>
          <cell r="GL367">
            <v>3672.8576127268252</v>
          </cell>
        </row>
        <row r="368">
          <cell r="EO368">
            <v>3440.4666666666599</v>
          </cell>
          <cell r="GL368">
            <v>3659.8536549259479</v>
          </cell>
        </row>
        <row r="369">
          <cell r="EO369">
            <v>2976.2666666666601</v>
          </cell>
          <cell r="GL369">
            <v>3462.351931545616</v>
          </cell>
        </row>
        <row r="370">
          <cell r="EO370">
            <v>3192.36666666666</v>
          </cell>
          <cell r="GL370">
            <v>3585.1091941785962</v>
          </cell>
        </row>
        <row r="371">
          <cell r="EO371">
            <v>3068.1</v>
          </cell>
          <cell r="GL371">
            <v>3534.1754232766548</v>
          </cell>
        </row>
        <row r="372">
          <cell r="EO372">
            <v>3030.2</v>
          </cell>
          <cell r="GL372">
            <v>3598.6977115709929</v>
          </cell>
        </row>
        <row r="373">
          <cell r="EO373">
            <v>1845.06666666666</v>
          </cell>
          <cell r="GL373">
            <v>2189.9196196485887</v>
          </cell>
        </row>
        <row r="374">
          <cell r="EO374">
            <v>2141.0666666666598</v>
          </cell>
          <cell r="GL374">
            <v>2191.449048624841</v>
          </cell>
        </row>
        <row r="375">
          <cell r="EO375">
            <v>2115</v>
          </cell>
          <cell r="GL375">
            <v>2281.2101370750524</v>
          </cell>
        </row>
        <row r="376">
          <cell r="EO376">
            <v>2179.9</v>
          </cell>
          <cell r="GL376">
            <v>2240.7140027761379</v>
          </cell>
        </row>
        <row r="377">
          <cell r="EO377">
            <v>2172.5333333333301</v>
          </cell>
          <cell r="GL377">
            <v>2334.8148938416198</v>
          </cell>
        </row>
        <row r="378">
          <cell r="EO378">
            <v>2106.9</v>
          </cell>
          <cell r="GL378">
            <v>2282.7761899145562</v>
          </cell>
        </row>
        <row r="379">
          <cell r="EO379">
            <v>2121.9333333333302</v>
          </cell>
          <cell r="GL379">
            <v>2282.7761899145562</v>
          </cell>
        </row>
        <row r="380">
          <cell r="EO380">
            <v>2819.0666666666598</v>
          </cell>
          <cell r="GL380">
            <v>2849.3889870895287</v>
          </cell>
        </row>
        <row r="381">
          <cell r="EO381">
            <v>3026.6666666666601</v>
          </cell>
          <cell r="GL381">
            <v>3280.2285912033808</v>
          </cell>
        </row>
        <row r="382">
          <cell r="EO382">
            <v>3209.8</v>
          </cell>
          <cell r="GL382">
            <v>3347.0896923102209</v>
          </cell>
        </row>
        <row r="383">
          <cell r="EO383">
            <v>2409.6666666666601</v>
          </cell>
          <cell r="GL383">
            <v>2492.822609642596</v>
          </cell>
        </row>
        <row r="384">
          <cell r="EO384">
            <v>2808.5</v>
          </cell>
          <cell r="GL384">
            <v>2650.6659894840268</v>
          </cell>
        </row>
        <row r="385">
          <cell r="EO385">
            <v>2330.1999999999998</v>
          </cell>
          <cell r="GL385">
            <v>2668.0141178046451</v>
          </cell>
        </row>
        <row r="386">
          <cell r="EO386">
            <v>2259.5</v>
          </cell>
          <cell r="GL386">
            <v>2440.5386859407608</v>
          </cell>
        </row>
        <row r="387">
          <cell r="EO387">
            <v>2209.86666666666</v>
          </cell>
          <cell r="GL387">
            <v>2404.9618372067371</v>
          </cell>
        </row>
        <row r="388">
          <cell r="EO388">
            <v>2163.7333333333299</v>
          </cell>
          <cell r="GL388">
            <v>2254.6838924727308</v>
          </cell>
        </row>
        <row r="389">
          <cell r="EO389">
            <v>1394.7666666666601</v>
          </cell>
          <cell r="GL389">
            <v>1284.5300319581734</v>
          </cell>
        </row>
        <row r="390">
          <cell r="EO390">
            <v>1688.3</v>
          </cell>
          <cell r="GL390">
            <v>1351.5111091393733</v>
          </cell>
        </row>
        <row r="391">
          <cell r="EO391">
            <v>1727.06666666666</v>
          </cell>
          <cell r="GL391">
            <v>1516.3859328777626</v>
          </cell>
        </row>
        <row r="392">
          <cell r="EO392">
            <v>1630.5333333333299</v>
          </cell>
          <cell r="GL392">
            <v>1472.096707114385</v>
          </cell>
        </row>
        <row r="393">
          <cell r="EO393">
            <v>5073.6000000000004</v>
          </cell>
          <cell r="GL393">
            <v>4305.6261781776557</v>
          </cell>
        </row>
        <row r="394">
          <cell r="EO394">
            <v>4488.6000000000004</v>
          </cell>
          <cell r="GL394">
            <v>4329.1475498893742</v>
          </cell>
        </row>
        <row r="395">
          <cell r="EO395">
            <v>4427.5</v>
          </cell>
          <cell r="GL395">
            <v>4566.2141680352797</v>
          </cell>
        </row>
        <row r="396">
          <cell r="EO396">
            <v>4190.2</v>
          </cell>
          <cell r="GL396">
            <v>4395.635143921967</v>
          </cell>
        </row>
        <row r="397">
          <cell r="EO397">
            <v>4590.3666666666604</v>
          </cell>
          <cell r="GL397">
            <v>4625.9038258814135</v>
          </cell>
        </row>
        <row r="398">
          <cell r="EO398">
            <v>4331.6000000000004</v>
          </cell>
          <cell r="GL398">
            <v>4846.3824385579328</v>
          </cell>
        </row>
        <row r="399">
          <cell r="EO399">
            <v>4618.2666666666601</v>
          </cell>
          <cell r="GL399">
            <v>4937.5281054854422</v>
          </cell>
        </row>
        <row r="400">
          <cell r="EO400">
            <v>3401.3</v>
          </cell>
          <cell r="GL400">
            <v>3868.3737040111851</v>
          </cell>
        </row>
        <row r="401">
          <cell r="EO401">
            <v>2533.4666666666599</v>
          </cell>
          <cell r="GL401">
            <v>2105.1481402737591</v>
          </cell>
        </row>
        <row r="402">
          <cell r="EO402">
            <v>2300.1</v>
          </cell>
          <cell r="GL402">
            <v>2044.8544586986518</v>
          </cell>
        </row>
        <row r="403">
          <cell r="EO403">
            <v>2101.5333333333301</v>
          </cell>
          <cell r="GL403">
            <v>1985.1097002491633</v>
          </cell>
        </row>
        <row r="404">
          <cell r="EO404">
            <v>2084.7666666666601</v>
          </cell>
          <cell r="GL404">
            <v>1974.1517634624679</v>
          </cell>
        </row>
        <row r="405">
          <cell r="EO405">
            <v>2112.6666666666601</v>
          </cell>
          <cell r="GL405">
            <v>2002.3923110367959</v>
          </cell>
        </row>
        <row r="406">
          <cell r="EO406">
            <v>1434</v>
          </cell>
          <cell r="GL406">
            <v>1489.4356596427151</v>
          </cell>
        </row>
        <row r="407">
          <cell r="EO407">
            <v>1459.7</v>
          </cell>
          <cell r="GL407">
            <v>1479.9684176853998</v>
          </cell>
        </row>
        <row r="408">
          <cell r="EO408">
            <v>4167.5</v>
          </cell>
          <cell r="GL408">
            <v>3713.0674844372766</v>
          </cell>
        </row>
        <row r="409">
          <cell r="EO409">
            <v>3639.3333333333298</v>
          </cell>
          <cell r="GL409">
            <v>3762.7787600452389</v>
          </cell>
        </row>
        <row r="410">
          <cell r="EO410">
            <v>3342.1666666666601</v>
          </cell>
          <cell r="GL410">
            <v>3652.822962642676</v>
          </cell>
        </row>
        <row r="411">
          <cell r="EO411">
            <v>2779.9666666666599</v>
          </cell>
          <cell r="GL411">
            <v>3348.4790727308259</v>
          </cell>
        </row>
        <row r="412">
          <cell r="EO412">
            <v>3320.4333333333302</v>
          </cell>
          <cell r="GL412">
            <v>3593.0458724880223</v>
          </cell>
        </row>
        <row r="413">
          <cell r="EO413">
            <v>2924.86666666666</v>
          </cell>
          <cell r="GL413">
            <v>3471.9068938416199</v>
          </cell>
        </row>
        <row r="414">
          <cell r="EO414">
            <v>3028.4</v>
          </cell>
          <cell r="GL414">
            <v>3634.4666698462584</v>
          </cell>
        </row>
        <row r="415">
          <cell r="EO415">
            <v>2897.3333333333298</v>
          </cell>
          <cell r="GL415">
            <v>3512.8726503941821</v>
          </cell>
        </row>
        <row r="416">
          <cell r="EO416">
            <v>2981.86666666666</v>
          </cell>
          <cell r="GL416">
            <v>3521.9605580359507</v>
          </cell>
        </row>
        <row r="417">
          <cell r="EO417">
            <v>3049.0333333333301</v>
          </cell>
          <cell r="GL417">
            <v>3617.5235854222833</v>
          </cell>
        </row>
        <row r="418">
          <cell r="EO418">
            <v>3169.5</v>
          </cell>
          <cell r="GL418">
            <v>3580.3587860767234</v>
          </cell>
        </row>
        <row r="419">
          <cell r="EO419">
            <v>2930.4</v>
          </cell>
          <cell r="GL419">
            <v>3565.2406674800891</v>
          </cell>
        </row>
        <row r="420">
          <cell r="EO420">
            <v>3147</v>
          </cell>
          <cell r="GL420">
            <v>3610.9682990337146</v>
          </cell>
        </row>
        <row r="421">
          <cell r="EO421">
            <v>1605.8333333333301</v>
          </cell>
          <cell r="GL421">
            <v>1286.948578811875</v>
          </cell>
        </row>
        <row r="422">
          <cell r="EO422">
            <v>1807.93333333333</v>
          </cell>
          <cell r="GL422">
            <v>1098.7825691956764</v>
          </cell>
        </row>
        <row r="423">
          <cell r="EO423">
            <v>4843.3666666666604</v>
          </cell>
          <cell r="GL423">
            <v>3617.5217918738335</v>
          </cell>
        </row>
        <row r="424">
          <cell r="EO424">
            <v>4127.6000000000004</v>
          </cell>
          <cell r="GL424">
            <v>3634.5216520386693</v>
          </cell>
        </row>
        <row r="425">
          <cell r="EO425">
            <v>4109.0666666666602</v>
          </cell>
          <cell r="GL425">
            <v>3741.2382633074531</v>
          </cell>
        </row>
        <row r="426">
          <cell r="EO426">
            <v>4142.3</v>
          </cell>
          <cell r="GL426">
            <v>3829.7016690950718</v>
          </cell>
        </row>
        <row r="427">
          <cell r="EO427">
            <v>3584.13333333333</v>
          </cell>
          <cell r="GL427">
            <v>3640.0599935582763</v>
          </cell>
        </row>
        <row r="428">
          <cell r="EO428">
            <v>4189.8333333333303</v>
          </cell>
          <cell r="GL428">
            <v>3789.1654248679015</v>
          </cell>
        </row>
        <row r="429">
          <cell r="EO429">
            <v>4189.7333333333299</v>
          </cell>
          <cell r="GL429">
            <v>3831.974792381342</v>
          </cell>
        </row>
        <row r="430">
          <cell r="EO430">
            <v>4084.6666666666601</v>
          </cell>
          <cell r="GL430">
            <v>3774.2697535340158</v>
          </cell>
        </row>
        <row r="431">
          <cell r="EO431">
            <v>4238.2666666666601</v>
          </cell>
          <cell r="GL431">
            <v>4045.9351516349248</v>
          </cell>
        </row>
        <row r="432">
          <cell r="EO432">
            <v>5251.1</v>
          </cell>
          <cell r="GL432">
            <v>5106.3429006623792</v>
          </cell>
        </row>
        <row r="433">
          <cell r="EO433">
            <v>4443.1666666666597</v>
          </cell>
          <cell r="GL433">
            <v>4813.4615055201184</v>
          </cell>
        </row>
        <row r="434">
          <cell r="EO434">
            <v>3819.0666666666598</v>
          </cell>
          <cell r="GL434">
            <v>4040.9483152815251</v>
          </cell>
        </row>
        <row r="435">
          <cell r="EO435">
            <v>4038.2</v>
          </cell>
          <cell r="GL435">
            <v>4025.4891037407001</v>
          </cell>
        </row>
        <row r="436">
          <cell r="EO436">
            <v>4225.3333333333303</v>
          </cell>
          <cell r="GL436">
            <v>4012.001499080729</v>
          </cell>
        </row>
        <row r="437">
          <cell r="EO437">
            <v>4094.6</v>
          </cell>
          <cell r="GL437">
            <v>4039.1741544617767</v>
          </cell>
        </row>
        <row r="438">
          <cell r="EO438">
            <v>4105.8</v>
          </cell>
          <cell r="GL438">
            <v>4105.2396364368433</v>
          </cell>
        </row>
        <row r="439">
          <cell r="EO439">
            <v>4109.9666666666599</v>
          </cell>
          <cell r="GL439">
            <v>3950.7997079612173</v>
          </cell>
        </row>
        <row r="440">
          <cell r="EO440">
            <v>4323.0333333333301</v>
          </cell>
          <cell r="GL440">
            <v>3961.8193044763807</v>
          </cell>
        </row>
        <row r="441">
          <cell r="EO441">
            <v>2161.9666666666599</v>
          </cell>
          <cell r="GL441">
            <v>2298.471707114385</v>
          </cell>
        </row>
        <row r="442">
          <cell r="EO442">
            <v>4111.5</v>
          </cell>
          <cell r="GL442">
            <v>4156.1713277855997</v>
          </cell>
        </row>
        <row r="443">
          <cell r="EO443">
            <v>3421.13333333333</v>
          </cell>
          <cell r="GL443">
            <v>3073.7925834177136</v>
          </cell>
        </row>
        <row r="444">
          <cell r="EO444">
            <v>3365.1666666666601</v>
          </cell>
          <cell r="GL444">
            <v>3115.2398417998743</v>
          </cell>
        </row>
        <row r="445">
          <cell r="EO445">
            <v>3256.4</v>
          </cell>
          <cell r="GL445">
            <v>3199.7354220593602</v>
          </cell>
        </row>
        <row r="446">
          <cell r="EO446">
            <v>3051.5</v>
          </cell>
          <cell r="GL446">
            <v>3136.9874467872783</v>
          </cell>
        </row>
        <row r="447">
          <cell r="EO447">
            <v>2654.5</v>
          </cell>
          <cell r="GL447">
            <v>2984.4515027761377</v>
          </cell>
        </row>
        <row r="448">
          <cell r="EO448">
            <v>2699.0333333333301</v>
          </cell>
          <cell r="GL448">
            <v>3010.8816457918479</v>
          </cell>
        </row>
        <row r="449">
          <cell r="EO449">
            <v>2721.7333333333299</v>
          </cell>
          <cell r="GL449">
            <v>3079.2719164918767</v>
          </cell>
        </row>
        <row r="450">
          <cell r="EO450">
            <v>2798.7666666666601</v>
          </cell>
          <cell r="GL450">
            <v>3091.2738911332549</v>
          </cell>
        </row>
        <row r="451">
          <cell r="EO451">
            <v>2764.5666666666598</v>
          </cell>
          <cell r="GL451">
            <v>3051.6571836719099</v>
          </cell>
        </row>
        <row r="452">
          <cell r="EO452">
            <v>2899.3</v>
          </cell>
          <cell r="GL452">
            <v>3116.8516886656048</v>
          </cell>
        </row>
        <row r="453">
          <cell r="EO453">
            <v>2727.7</v>
          </cell>
          <cell r="GL453">
            <v>3050.0809176853995</v>
          </cell>
        </row>
        <row r="454">
          <cell r="EO454">
            <v>2914.5</v>
          </cell>
          <cell r="GL454">
            <v>3123.2615220558905</v>
          </cell>
        </row>
        <row r="455">
          <cell r="EO455">
            <v>2687.8</v>
          </cell>
          <cell r="GL455">
            <v>2956.6625478039573</v>
          </cell>
        </row>
        <row r="456">
          <cell r="EO456">
            <v>2887.8</v>
          </cell>
          <cell r="GL456">
            <v>3102.4395659612014</v>
          </cell>
        </row>
        <row r="457">
          <cell r="EO457">
            <v>2719.36666666666</v>
          </cell>
          <cell r="GL457">
            <v>3054.8116433940536</v>
          </cell>
        </row>
        <row r="458">
          <cell r="EO458">
            <v>2997.1666666666601</v>
          </cell>
          <cell r="GL458">
            <v>3104.0372913038423</v>
          </cell>
        </row>
        <row r="459">
          <cell r="EO459">
            <v>2699.9666666666599</v>
          </cell>
          <cell r="GL459">
            <v>2987.5515564411257</v>
          </cell>
        </row>
        <row r="460">
          <cell r="EO460">
            <v>2940.4333333333302</v>
          </cell>
          <cell r="GL460">
            <v>3099.2460894915371</v>
          </cell>
        </row>
        <row r="461">
          <cell r="EO461">
            <v>2878.8333333333298</v>
          </cell>
          <cell r="GL461">
            <v>3078.5523938416195</v>
          </cell>
        </row>
        <row r="462">
          <cell r="EO462">
            <v>2772.36666666666</v>
          </cell>
          <cell r="GL462">
            <v>3316.3225900308189</v>
          </cell>
        </row>
        <row r="463">
          <cell r="EO463">
            <v>2928.13333333333</v>
          </cell>
          <cell r="GL463">
            <v>3354.6346577297722</v>
          </cell>
        </row>
        <row r="464">
          <cell r="EO464">
            <v>2998.7666666666601</v>
          </cell>
          <cell r="GL464">
            <v>3429.2778529123029</v>
          </cell>
        </row>
        <row r="465">
          <cell r="EO465">
            <v>3107.6</v>
          </cell>
          <cell r="GL465">
            <v>3469.7224909858301</v>
          </cell>
        </row>
        <row r="466">
          <cell r="EO466">
            <v>3055.9</v>
          </cell>
          <cell r="GL466">
            <v>3465.5617791418622</v>
          </cell>
        </row>
        <row r="467">
          <cell r="EO467">
            <v>3008.1</v>
          </cell>
          <cell r="GL467">
            <v>3460.8097570107871</v>
          </cell>
        </row>
        <row r="468">
          <cell r="EO468">
            <v>2852.2666666666601</v>
          </cell>
          <cell r="GL468">
            <v>3399.5588388178544</v>
          </cell>
        </row>
        <row r="469">
          <cell r="EO469">
            <v>2980.4</v>
          </cell>
          <cell r="GL469">
            <v>3421.4348774801606</v>
          </cell>
        </row>
        <row r="470">
          <cell r="EO470">
            <v>1332.1</v>
          </cell>
          <cell r="GL470">
            <v>631.46488985499673</v>
          </cell>
        </row>
        <row r="471">
          <cell r="EO471">
            <v>1503.7</v>
          </cell>
          <cell r="GL471">
            <v>1405.5900983982651</v>
          </cell>
        </row>
        <row r="472">
          <cell r="EO472">
            <v>4785.7333333333299</v>
          </cell>
          <cell r="GL472">
            <v>3858.8419060376004</v>
          </cell>
        </row>
        <row r="473">
          <cell r="EO473">
            <v>1924.4666666666601</v>
          </cell>
          <cell r="GL473">
            <v>2142.8062397091153</v>
          </cell>
        </row>
        <row r="474">
          <cell r="EO474">
            <v>2088.4</v>
          </cell>
          <cell r="GL474">
            <v>2142.8062397091153</v>
          </cell>
        </row>
        <row r="475">
          <cell r="EO475">
            <v>2142.3000000000002</v>
          </cell>
          <cell r="GL475">
            <v>1739.4455983982652</v>
          </cell>
        </row>
        <row r="476">
          <cell r="EO476">
            <v>4078.2333333333299</v>
          </cell>
          <cell r="GL476">
            <v>3426.138753306514</v>
          </cell>
        </row>
        <row r="477">
          <cell r="EO477">
            <v>4087.2666666666601</v>
          </cell>
          <cell r="GL477">
            <v>3563.4715642332808</v>
          </cell>
        </row>
        <row r="478">
          <cell r="EO478">
            <v>3712.1666666666601</v>
          </cell>
          <cell r="GL478">
            <v>3479.8529328777627</v>
          </cell>
        </row>
        <row r="479">
          <cell r="EO479">
            <v>3588.4666666666599</v>
          </cell>
          <cell r="GL479">
            <v>3513.4053590229255</v>
          </cell>
        </row>
        <row r="480">
          <cell r="EO480">
            <v>3045.4666666666599</v>
          </cell>
          <cell r="GL480">
            <v>3471.9068938414944</v>
          </cell>
        </row>
        <row r="481">
          <cell r="EO481">
            <v>3027.3</v>
          </cell>
          <cell r="GL481">
            <v>3510.1973512437121</v>
          </cell>
        </row>
        <row r="482">
          <cell r="EO482">
            <v>2972.8333333333298</v>
          </cell>
          <cell r="GL482">
            <v>3430.8483588671611</v>
          </cell>
        </row>
        <row r="483">
          <cell r="EO483">
            <v>2987.2</v>
          </cell>
          <cell r="GL483">
            <v>3399.5588388178544</v>
          </cell>
        </row>
        <row r="484">
          <cell r="EO484">
            <v>3188.0333333333301</v>
          </cell>
          <cell r="GL484">
            <v>3459.2270448934482</v>
          </cell>
        </row>
        <row r="485">
          <cell r="EO485">
            <v>1900.3333333333301</v>
          </cell>
          <cell r="GL485">
            <v>2293.7563588688563</v>
          </cell>
        </row>
        <row r="486">
          <cell r="EO486">
            <v>1541.3333333333301</v>
          </cell>
          <cell r="GL486">
            <v>1240.7239221012333</v>
          </cell>
        </row>
        <row r="487">
          <cell r="EO487">
            <v>1115.0333333333299</v>
          </cell>
          <cell r="GL487">
            <v>984.01371036164574</v>
          </cell>
        </row>
        <row r="488">
          <cell r="EO488">
            <v>1331.56666666666</v>
          </cell>
          <cell r="GL488">
            <v>1361.1793037417183</v>
          </cell>
        </row>
        <row r="489">
          <cell r="EO489">
            <v>1752.13333333333</v>
          </cell>
          <cell r="GL489">
            <v>1402.2446202971055</v>
          </cell>
        </row>
        <row r="490">
          <cell r="EO490">
            <v>1733.6</v>
          </cell>
          <cell r="GL490">
            <v>1536.8368065280124</v>
          </cell>
        </row>
        <row r="491">
          <cell r="EO491">
            <v>1486.63333333333</v>
          </cell>
          <cell r="GL491">
            <v>1483.044384576895</v>
          </cell>
        </row>
        <row r="492">
          <cell r="EO492">
            <v>1437.1666666666599</v>
          </cell>
          <cell r="GL492">
            <v>1480.9074302259787</v>
          </cell>
        </row>
        <row r="493">
          <cell r="EO493">
            <v>1367.6666666666599</v>
          </cell>
          <cell r="GL493">
            <v>1472.0720944256582</v>
          </cell>
        </row>
        <row r="494">
          <cell r="EO494">
            <v>1354.8333333333301</v>
          </cell>
          <cell r="GL494">
            <v>1455.4885113088226</v>
          </cell>
        </row>
        <row r="495">
          <cell r="EO495">
            <v>1246.3</v>
          </cell>
          <cell r="GL495">
            <v>1365.2195995943785</v>
          </cell>
        </row>
        <row r="496">
          <cell r="EO496">
            <v>1466.1</v>
          </cell>
          <cell r="GL496">
            <v>1344.0186424727308</v>
          </cell>
        </row>
        <row r="497">
          <cell r="EO497">
            <v>1610</v>
          </cell>
          <cell r="GL497">
            <v>1395.6781676853998</v>
          </cell>
        </row>
        <row r="498">
          <cell r="EO498">
            <v>1755.7333333333299</v>
          </cell>
          <cell r="GL498">
            <v>1396.484861560114</v>
          </cell>
        </row>
        <row r="499">
          <cell r="EO499">
            <v>1710.13333333333</v>
          </cell>
          <cell r="GL499">
            <v>1423.200002786456</v>
          </cell>
        </row>
        <row r="500">
          <cell r="EO500">
            <v>4483.8666666666604</v>
          </cell>
          <cell r="GL500">
            <v>3150.6599433269071</v>
          </cell>
        </row>
        <row r="501">
          <cell r="EO501">
            <v>4105.2</v>
          </cell>
          <cell r="GL501">
            <v>3137.7424741859227</v>
          </cell>
        </row>
        <row r="502">
          <cell r="EO502">
            <v>4374.9333333333298</v>
          </cell>
          <cell r="GL502">
            <v>3965.7100643840122</v>
          </cell>
        </row>
        <row r="503">
          <cell r="EO503">
            <v>4369.0333333333301</v>
          </cell>
          <cell r="GL503">
            <v>4341.0681843501216</v>
          </cell>
        </row>
        <row r="504">
          <cell r="EO504">
            <v>4527.5333333333301</v>
          </cell>
          <cell r="GL504">
            <v>4281.7123545423819</v>
          </cell>
        </row>
        <row r="505">
          <cell r="EO505">
            <v>4745.5333333333301</v>
          </cell>
          <cell r="GL505">
            <v>4303.6917497510431</v>
          </cell>
        </row>
        <row r="506">
          <cell r="EO506">
            <v>4256.4333333333298</v>
          </cell>
          <cell r="GL506">
            <v>4126.3587557409592</v>
          </cell>
        </row>
        <row r="507">
          <cell r="EO507">
            <v>4191.9333333333298</v>
          </cell>
          <cell r="GL507">
            <v>4119.5333136419849</v>
          </cell>
        </row>
        <row r="508">
          <cell r="EO508">
            <v>4059.7666666666601</v>
          </cell>
          <cell r="GL508">
            <v>4112.5929547708802</v>
          </cell>
        </row>
        <row r="509">
          <cell r="EO509">
            <v>4267.6000000000004</v>
          </cell>
          <cell r="GL509">
            <v>4293.6187769754115</v>
          </cell>
        </row>
        <row r="510">
          <cell r="EO510">
            <v>4184.2</v>
          </cell>
          <cell r="GL510">
            <v>4196.9861020098979</v>
          </cell>
        </row>
        <row r="511">
          <cell r="EO511">
            <v>4199.6000000000004</v>
          </cell>
          <cell r="GL511">
            <v>4185.7119397145116</v>
          </cell>
        </row>
        <row r="512">
          <cell r="EO512">
            <v>4043</v>
          </cell>
          <cell r="GL512">
            <v>4240.9242307373079</v>
          </cell>
        </row>
        <row r="513">
          <cell r="EO513">
            <v>4149.0666666666602</v>
          </cell>
          <cell r="GL513">
            <v>4150.5393276901559</v>
          </cell>
        </row>
        <row r="514">
          <cell r="EO514">
            <v>4112.2333333333299</v>
          </cell>
          <cell r="GL514">
            <v>4324.6957651120956</v>
          </cell>
        </row>
        <row r="515">
          <cell r="EO515">
            <v>4074.4333333333302</v>
          </cell>
          <cell r="GL515">
            <v>4192.7752492357085</v>
          </cell>
        </row>
        <row r="516">
          <cell r="EO516">
            <v>4010.7333333333299</v>
          </cell>
          <cell r="GL516">
            <v>4179.1026739674144</v>
          </cell>
        </row>
        <row r="517">
          <cell r="EO517">
            <v>4100.4666666666599</v>
          </cell>
          <cell r="GL517">
            <v>4068.9987247727108</v>
          </cell>
        </row>
        <row r="518">
          <cell r="EO518">
            <v>4153.0666666666602</v>
          </cell>
          <cell r="GL518">
            <v>4272.2315065020284</v>
          </cell>
        </row>
        <row r="519">
          <cell r="EO519">
            <v>2704.5</v>
          </cell>
          <cell r="GL519">
            <v>2760.3356713013518</v>
          </cell>
        </row>
        <row r="520">
          <cell r="EO520">
            <v>2717.9333333333302</v>
          </cell>
          <cell r="GL520">
            <v>2777.2028643856875</v>
          </cell>
        </row>
        <row r="521">
          <cell r="EO521">
            <v>2692.3333333333298</v>
          </cell>
          <cell r="GL521">
            <v>2833.3867073728998</v>
          </cell>
        </row>
        <row r="522">
          <cell r="EO522">
            <v>2672.13333333333</v>
          </cell>
          <cell r="GL522">
            <v>2792.4458481981337</v>
          </cell>
        </row>
        <row r="523">
          <cell r="EO523">
            <v>3458.13333333333</v>
          </cell>
          <cell r="GL523">
            <v>3184.7741069238523</v>
          </cell>
        </row>
        <row r="524">
          <cell r="EO524">
            <v>3885</v>
          </cell>
          <cell r="GL524">
            <v>3769.1424877353206</v>
          </cell>
        </row>
        <row r="525">
          <cell r="EO525">
            <v>1876.2666666666601</v>
          </cell>
          <cell r="GL525">
            <v>2147.5991034096578</v>
          </cell>
        </row>
        <row r="526">
          <cell r="EO526">
            <v>2165.8000000000002</v>
          </cell>
          <cell r="GL526">
            <v>2185.0770585732753</v>
          </cell>
        </row>
        <row r="527">
          <cell r="EO527">
            <v>2126.9</v>
          </cell>
          <cell r="GL527">
            <v>2234.0680241197042</v>
          </cell>
        </row>
        <row r="528">
          <cell r="EO528">
            <v>2223.9</v>
          </cell>
          <cell r="GL528">
            <v>2223.9724682081969</v>
          </cell>
        </row>
        <row r="529">
          <cell r="EO529">
            <v>2128</v>
          </cell>
          <cell r="GL529">
            <v>2211.5586067266213</v>
          </cell>
        </row>
        <row r="530">
          <cell r="EO530">
            <v>2074.2666666666601</v>
          </cell>
          <cell r="GL530">
            <v>2266.4595505509496</v>
          </cell>
        </row>
        <row r="531">
          <cell r="EO531">
            <v>2231.3333333333298</v>
          </cell>
          <cell r="GL531">
            <v>2141.9506697496149</v>
          </cell>
        </row>
        <row r="532">
          <cell r="EO532">
            <v>2171.6999999999998</v>
          </cell>
          <cell r="GL532">
            <v>2141.5607004453527</v>
          </cell>
        </row>
        <row r="533">
          <cell r="EO533">
            <v>2154.6666666666601</v>
          </cell>
          <cell r="GL533">
            <v>2336.5360695671734</v>
          </cell>
        </row>
        <row r="534">
          <cell r="EO534">
            <v>2127.4333333333302</v>
          </cell>
          <cell r="GL534">
            <v>2259.8532520686781</v>
          </cell>
        </row>
        <row r="535">
          <cell r="EO535">
            <v>2061.1999999999998</v>
          </cell>
          <cell r="GL535">
            <v>2315.5749086986198</v>
          </cell>
        </row>
        <row r="536">
          <cell r="EO536">
            <v>2261.13333333333</v>
          </cell>
          <cell r="GL536">
            <v>2255.3382898500367</v>
          </cell>
        </row>
        <row r="537">
          <cell r="EO537">
            <v>2311.36666666666</v>
          </cell>
          <cell r="GL537">
            <v>2212.9466900307871</v>
          </cell>
        </row>
        <row r="538">
          <cell r="EO538">
            <v>2165.6999999999998</v>
          </cell>
          <cell r="GL538">
            <v>2159.2463123298094</v>
          </cell>
        </row>
        <row r="539">
          <cell r="EO539">
            <v>2317.86666666666</v>
          </cell>
          <cell r="GL539">
            <v>2249.6015005509494</v>
          </cell>
        </row>
        <row r="540">
          <cell r="EO540">
            <v>2174.63333333333</v>
          </cell>
          <cell r="GL540">
            <v>2239.4645295880132</v>
          </cell>
        </row>
        <row r="541">
          <cell r="EO541">
            <v>1593.06666666666</v>
          </cell>
          <cell r="GL541">
            <v>1431.6626766886179</v>
          </cell>
        </row>
        <row r="542">
          <cell r="EO542">
            <v>1891.6666666666599</v>
          </cell>
          <cell r="GL542">
            <v>1456.1426588685558</v>
          </cell>
        </row>
        <row r="543">
          <cell r="EO543">
            <v>1744.7</v>
          </cell>
          <cell r="GL543">
            <v>1345.8873065812222</v>
          </cell>
        </row>
        <row r="544">
          <cell r="EO544">
            <v>1614.4666666666601</v>
          </cell>
          <cell r="GL544">
            <v>1339.9364967958004</v>
          </cell>
        </row>
        <row r="545">
          <cell r="EO545">
            <v>5030.9333333333298</v>
          </cell>
          <cell r="GL545">
            <v>4140.7009426224931</v>
          </cell>
        </row>
        <row r="546">
          <cell r="EO546">
            <v>4072.4666666666599</v>
          </cell>
          <cell r="GL546">
            <v>3654.5483974144695</v>
          </cell>
        </row>
        <row r="547">
          <cell r="EO547">
            <v>4196.6000000000004</v>
          </cell>
          <cell r="GL547">
            <v>3787.6126266212409</v>
          </cell>
        </row>
        <row r="548">
          <cell r="EO548">
            <v>4045.3333333333298</v>
          </cell>
          <cell r="GL548">
            <v>3732.9051883468915</v>
          </cell>
        </row>
        <row r="549">
          <cell r="EO549">
            <v>3627.0333333333301</v>
          </cell>
          <cell r="GL549">
            <v>3685.6561766936661</v>
          </cell>
        </row>
        <row r="550">
          <cell r="EO550">
            <v>3628.7666666666601</v>
          </cell>
          <cell r="GL550">
            <v>3712.5855941695577</v>
          </cell>
        </row>
        <row r="551">
          <cell r="EO551">
            <v>3327.6666666666601</v>
          </cell>
          <cell r="GL551">
            <v>3717.6555961531553</v>
          </cell>
        </row>
        <row r="552">
          <cell r="EO552">
            <v>3401</v>
          </cell>
          <cell r="GL552">
            <v>3768.72055958806</v>
          </cell>
        </row>
        <row r="553">
          <cell r="EO553">
            <v>3237.4666666666599</v>
          </cell>
          <cell r="GL553">
            <v>3610.8989464302635</v>
          </cell>
        </row>
        <row r="554">
          <cell r="EO554">
            <v>3376.7666666666601</v>
          </cell>
          <cell r="GL554">
            <v>3719.3470598139543</v>
          </cell>
        </row>
        <row r="555">
          <cell r="EO555">
            <v>3151.1666666666601</v>
          </cell>
          <cell r="GL555">
            <v>3543.4284566049791</v>
          </cell>
        </row>
        <row r="556">
          <cell r="EO556">
            <v>3337.1</v>
          </cell>
          <cell r="GL556">
            <v>3566.970514494999</v>
          </cell>
        </row>
        <row r="557">
          <cell r="EO557">
            <v>3092.8333333333298</v>
          </cell>
          <cell r="GL557">
            <v>3555.6039389490675</v>
          </cell>
        </row>
        <row r="558">
          <cell r="EO558">
            <v>1418.06666666666</v>
          </cell>
          <cell r="GL558">
            <v>1372.8710030829488</v>
          </cell>
        </row>
        <row r="559">
          <cell r="EO559">
            <v>1491</v>
          </cell>
          <cell r="GL559">
            <v>1353.3836291738535</v>
          </cell>
        </row>
        <row r="560">
          <cell r="EO560">
            <v>1509.2333333333299</v>
          </cell>
          <cell r="GL560">
            <v>1499.6731432272973</v>
          </cell>
        </row>
        <row r="561">
          <cell r="EO561">
            <v>1504.4</v>
          </cell>
          <cell r="GL561">
            <v>1453.3578887625977</v>
          </cell>
        </row>
        <row r="562">
          <cell r="EO562">
            <v>1549.6666666666599</v>
          </cell>
          <cell r="GL562">
            <v>1498.1203104389861</v>
          </cell>
        </row>
        <row r="563">
          <cell r="EO563">
            <v>2016.0333333333299</v>
          </cell>
          <cell r="GL563">
            <v>2268.164573107792</v>
          </cell>
        </row>
        <row r="564">
          <cell r="EO564">
            <v>2147.63333333333</v>
          </cell>
          <cell r="GL564">
            <v>2236.3944730570788</v>
          </cell>
        </row>
        <row r="565">
          <cell r="EO565">
            <v>1876.63333333333</v>
          </cell>
          <cell r="GL565">
            <v>2206.5977819292598</v>
          </cell>
        </row>
        <row r="566">
          <cell r="EO566">
            <v>1752</v>
          </cell>
          <cell r="GL566">
            <v>1361.2455564411262</v>
          </cell>
        </row>
        <row r="567">
          <cell r="EO567">
            <v>1936.6</v>
          </cell>
          <cell r="GL567">
            <v>1404.5686851522787</v>
          </cell>
        </row>
        <row r="568">
          <cell r="EO568">
            <v>4413.2</v>
          </cell>
          <cell r="GL568">
            <v>3452.7224521555509</v>
          </cell>
        </row>
        <row r="569">
          <cell r="EO569">
            <v>4030.5666666666598</v>
          </cell>
          <cell r="GL569">
            <v>3525.4486944256582</v>
          </cell>
        </row>
        <row r="570">
          <cell r="EO570">
            <v>3689.2333333333299</v>
          </cell>
          <cell r="GL570">
            <v>3510.1973512435629</v>
          </cell>
        </row>
        <row r="571">
          <cell r="EO571">
            <v>3801.4</v>
          </cell>
          <cell r="GL571">
            <v>3561.8464105471753</v>
          </cell>
        </row>
        <row r="572">
          <cell r="EO572">
            <v>3206.8</v>
          </cell>
          <cell r="GL572">
            <v>3462.393116430419</v>
          </cell>
        </row>
        <row r="573">
          <cell r="EO573">
            <v>3871.5</v>
          </cell>
          <cell r="GL573">
            <v>3115.2398417998743</v>
          </cell>
        </row>
        <row r="574">
          <cell r="EO574">
            <v>3688.3</v>
          </cell>
          <cell r="GL574">
            <v>3113.6374946421561</v>
          </cell>
        </row>
        <row r="575">
          <cell r="EO575">
            <v>1423.06666666666</v>
          </cell>
          <cell r="GL575">
            <v>1631.938213748334</v>
          </cell>
        </row>
        <row r="576">
          <cell r="EO576">
            <v>2594.1</v>
          </cell>
          <cell r="GL576">
            <v>3026.5136899145559</v>
          </cell>
        </row>
        <row r="577">
          <cell r="EO577">
            <v>1344.4</v>
          </cell>
          <cell r="GL577">
            <v>1633.4034316936195</v>
          </cell>
        </row>
        <row r="578">
          <cell r="EO578">
            <v>1284</v>
          </cell>
          <cell r="GL578">
            <v>1563.6989098274857</v>
          </cell>
        </row>
        <row r="579">
          <cell r="EO579">
            <v>866.76666666666597</v>
          </cell>
          <cell r="GL579">
            <v>1591.1384019606548</v>
          </cell>
        </row>
        <row r="580">
          <cell r="EO580">
            <v>871.46666666666601</v>
          </cell>
          <cell r="GL580">
            <v>1689.5012861329228</v>
          </cell>
        </row>
        <row r="581">
          <cell r="EO581">
            <v>1195.43333333333</v>
          </cell>
          <cell r="GL581">
            <v>1757.0117558576048</v>
          </cell>
        </row>
        <row r="582">
          <cell r="EO582">
            <v>4775.2666666666601</v>
          </cell>
          <cell r="GL582">
            <v>3517.4203734816406</v>
          </cell>
        </row>
        <row r="583">
          <cell r="EO583">
            <v>4026.0333333333301</v>
          </cell>
          <cell r="GL583">
            <v>3376.9068198563264</v>
          </cell>
        </row>
        <row r="584">
          <cell r="EO584">
            <v>4135.3666666666604</v>
          </cell>
          <cell r="GL584">
            <v>3634.0034580322149</v>
          </cell>
        </row>
        <row r="585">
          <cell r="EO585">
            <v>4090.2333333333299</v>
          </cell>
          <cell r="GL585">
            <v>3709.2092444507512</v>
          </cell>
        </row>
        <row r="586">
          <cell r="EO586">
            <v>2085.7333333333299</v>
          </cell>
          <cell r="GL586">
            <v>2186.8625824777382</v>
          </cell>
        </row>
        <row r="587">
          <cell r="EO587">
            <v>3032.8333333333298</v>
          </cell>
          <cell r="GL587">
            <v>3426.1387533063876</v>
          </cell>
        </row>
        <row r="588">
          <cell r="EO588">
            <v>1898.7</v>
          </cell>
          <cell r="GL588">
            <v>2174.6586457335557</v>
          </cell>
        </row>
        <row r="589">
          <cell r="EO589">
            <v>3518.9333333333302</v>
          </cell>
          <cell r="GL589">
            <v>3508.5943417998747</v>
          </cell>
        </row>
        <row r="590">
          <cell r="EO590">
            <v>1444.8</v>
          </cell>
          <cell r="GL590">
            <v>1389.2586226558237</v>
          </cell>
        </row>
        <row r="591">
          <cell r="EO591">
            <v>1630.6666666666599</v>
          </cell>
          <cell r="GL591">
            <v>1414.3307854888849</v>
          </cell>
        </row>
        <row r="592">
          <cell r="EO592">
            <v>1591.8333333333301</v>
          </cell>
          <cell r="GL592">
            <v>1504.9938231946803</v>
          </cell>
        </row>
        <row r="593">
          <cell r="EO593">
            <v>1569.5</v>
          </cell>
          <cell r="GL593">
            <v>1431.6626766886179</v>
          </cell>
        </row>
        <row r="594">
          <cell r="EO594">
            <v>1565.06666666666</v>
          </cell>
          <cell r="GL594">
            <v>1431.6626766886179</v>
          </cell>
        </row>
        <row r="595">
          <cell r="EO595">
            <v>1612.43333333333</v>
          </cell>
          <cell r="GL595">
            <v>1406.4782533063876</v>
          </cell>
        </row>
        <row r="596">
          <cell r="EO596">
            <v>1731.9666666666601</v>
          </cell>
          <cell r="GL596">
            <v>1420.6243110368282</v>
          </cell>
        </row>
        <row r="597">
          <cell r="EO597">
            <v>1981.3333333333301</v>
          </cell>
          <cell r="GL597">
            <v>2200.6383960726162</v>
          </cell>
        </row>
        <row r="598">
          <cell r="EO598">
            <v>3459.4</v>
          </cell>
          <cell r="GL598">
            <v>3150.3399362420951</v>
          </cell>
        </row>
        <row r="599">
          <cell r="EO599">
            <v>2162.3000000000002</v>
          </cell>
          <cell r="GL599">
            <v>2251.5751008520529</v>
          </cell>
        </row>
        <row r="600">
          <cell r="EO600">
            <v>2972.6666666666601</v>
          </cell>
          <cell r="GL600">
            <v>3074.7463911332552</v>
          </cell>
        </row>
        <row r="601">
          <cell r="EO601">
            <v>2044.6</v>
          </cell>
          <cell r="GL601">
            <v>2232.9747464658367</v>
          </cell>
        </row>
        <row r="602">
          <cell r="EO602">
            <v>2033.63333333333</v>
          </cell>
          <cell r="GL602">
            <v>2159.4579366750522</v>
          </cell>
        </row>
        <row r="603">
          <cell r="EO603">
            <v>4573.6000000000004</v>
          </cell>
          <cell r="GL603">
            <v>3552.8698863039003</v>
          </cell>
        </row>
        <row r="604">
          <cell r="EO604">
            <v>3872</v>
          </cell>
          <cell r="GL604">
            <v>3423.0022002491637</v>
          </cell>
        </row>
        <row r="605">
          <cell r="EO605">
            <v>3780.63333333333</v>
          </cell>
          <cell r="GL605">
            <v>3660.5774810427351</v>
          </cell>
        </row>
        <row r="606">
          <cell r="EO606">
            <v>2103.6</v>
          </cell>
          <cell r="GL606">
            <v>2205.2413015415309</v>
          </cell>
        </row>
        <row r="607">
          <cell r="EO607">
            <v>2327</v>
          </cell>
          <cell r="GL607">
            <v>2059.1354388018162</v>
          </cell>
        </row>
        <row r="608">
          <cell r="EO608">
            <v>1970.2</v>
          </cell>
          <cell r="GL608">
            <v>2231.428756289868</v>
          </cell>
        </row>
        <row r="609">
          <cell r="EO609">
            <v>1904.43333333333</v>
          </cell>
          <cell r="GL609">
            <v>1631.869092079663</v>
          </cell>
        </row>
        <row r="610">
          <cell r="EO610">
            <v>3844.4</v>
          </cell>
          <cell r="GL610">
            <v>3130.0778428927265</v>
          </cell>
        </row>
        <row r="611">
          <cell r="EO611">
            <v>3617.5</v>
          </cell>
          <cell r="GL611">
            <v>3112.0358092629554</v>
          </cell>
        </row>
        <row r="612">
          <cell r="EO612">
            <v>1555.7666666666601</v>
          </cell>
          <cell r="GL612">
            <v>1689.5012861330729</v>
          </cell>
        </row>
        <row r="613">
          <cell r="EO613">
            <v>2678.0666666666598</v>
          </cell>
          <cell r="GL613">
            <v>2984.4515027763114</v>
          </cell>
        </row>
        <row r="614">
          <cell r="EO614">
            <v>2724.0666666666598</v>
          </cell>
          <cell r="GL614">
            <v>2618.2394988581855</v>
          </cell>
        </row>
        <row r="615">
          <cell r="EO615">
            <v>2147.8000000000002</v>
          </cell>
          <cell r="GL615">
            <v>2215.2839037561944</v>
          </cell>
        </row>
        <row r="616">
          <cell r="EO616">
            <v>2181.1666666666601</v>
          </cell>
          <cell r="GL616">
            <v>2284.9563704083848</v>
          </cell>
        </row>
        <row r="617">
          <cell r="EO617">
            <v>3047.6</v>
          </cell>
          <cell r="GL617">
            <v>3016.3871753899502</v>
          </cell>
        </row>
        <row r="618">
          <cell r="EO618">
            <v>2198.4666666666599</v>
          </cell>
          <cell r="GL618">
            <v>2153.3944288808666</v>
          </cell>
        </row>
        <row r="619">
          <cell r="EO619">
            <v>2040.9</v>
          </cell>
          <cell r="GL619">
            <v>2159.4579366750049</v>
          </cell>
        </row>
        <row r="620">
          <cell r="EO620">
            <v>1269.3333333333301</v>
          </cell>
          <cell r="GL620">
            <v>1031.2644803512303</v>
          </cell>
        </row>
        <row r="621">
          <cell r="EO621">
            <v>4305.5333333333301</v>
          </cell>
          <cell r="GL621">
            <v>3245.3566922144419</v>
          </cell>
        </row>
        <row r="622">
          <cell r="EO622">
            <v>4041.9</v>
          </cell>
          <cell r="GL622">
            <v>3510.77899929451</v>
          </cell>
        </row>
        <row r="623">
          <cell r="EO623">
            <v>4218.3</v>
          </cell>
          <cell r="GL623">
            <v>3669.736853987587</v>
          </cell>
        </row>
        <row r="624">
          <cell r="EO624">
            <v>4303.0666666666602</v>
          </cell>
          <cell r="GL624">
            <v>3772.3073748679012</v>
          </cell>
        </row>
        <row r="625">
          <cell r="EO625">
            <v>1254.2333333333299</v>
          </cell>
          <cell r="GL625">
            <v>1313.4724824684899</v>
          </cell>
        </row>
        <row r="626">
          <cell r="EO626">
            <v>1449.4666666666601</v>
          </cell>
          <cell r="GL626">
            <v>1320.6236942106052</v>
          </cell>
        </row>
        <row r="627">
          <cell r="EO627">
            <v>1671.2666666666601</v>
          </cell>
          <cell r="GL627">
            <v>1500.5101236436403</v>
          </cell>
        </row>
        <row r="628">
          <cell r="EO628">
            <v>1737.8</v>
          </cell>
          <cell r="GL628">
            <v>1695.4442869792065</v>
          </cell>
        </row>
        <row r="629">
          <cell r="EO629">
            <v>1685.06666666666</v>
          </cell>
          <cell r="GL629">
            <v>1720.5122395300377</v>
          </cell>
        </row>
        <row r="630">
          <cell r="EO630">
            <v>2233.4333333333302</v>
          </cell>
          <cell r="GL630">
            <v>2186.0278053370657</v>
          </cell>
        </row>
        <row r="631">
          <cell r="EO631">
            <v>1993.3333333333301</v>
          </cell>
          <cell r="GL631">
            <v>2338.2759148281743</v>
          </cell>
        </row>
        <row r="632">
          <cell r="EO632">
            <v>2020.7666666666601</v>
          </cell>
          <cell r="GL632">
            <v>2381.1303505678534</v>
          </cell>
        </row>
        <row r="633">
          <cell r="EO633">
            <v>1868.4666666666601</v>
          </cell>
          <cell r="GL633">
            <v>1647.6736164304034</v>
          </cell>
        </row>
        <row r="634">
          <cell r="EO634">
            <v>1811</v>
          </cell>
          <cell r="GL634">
            <v>1681.074565961178</v>
          </cell>
        </row>
        <row r="635">
          <cell r="EO635">
            <v>1616.56666666666</v>
          </cell>
          <cell r="GL635">
            <v>1673.0958027864558</v>
          </cell>
        </row>
        <row r="636">
          <cell r="EO636">
            <v>1644.8333333333301</v>
          </cell>
          <cell r="GL636">
            <v>1693.8748417998745</v>
          </cell>
        </row>
        <row r="637">
          <cell r="EO637">
            <v>1660.7666666666601</v>
          </cell>
          <cell r="GL637">
            <v>1719.6028143678636</v>
          </cell>
        </row>
        <row r="638">
          <cell r="EO638">
            <v>1593.8333333333301</v>
          </cell>
          <cell r="GL638">
            <v>1692.2724946421563</v>
          </cell>
        </row>
        <row r="639">
          <cell r="EO639">
            <v>1498.8333333333301</v>
          </cell>
          <cell r="GL639">
            <v>1591.0770074634834</v>
          </cell>
        </row>
        <row r="640">
          <cell r="EO640">
            <v>3570</v>
          </cell>
          <cell r="GL640">
            <v>3116.8428512437117</v>
          </cell>
        </row>
        <row r="641">
          <cell r="EO641">
            <v>2217</v>
          </cell>
          <cell r="GL641">
            <v>2202.851548595926</v>
          </cell>
        </row>
        <row r="642">
          <cell r="EO642">
            <v>1939.8</v>
          </cell>
          <cell r="GL642">
            <v>2267.1441457918481</v>
          </cell>
        </row>
        <row r="643">
          <cell r="EO643">
            <v>2105</v>
          </cell>
          <cell r="GL643">
            <v>2191.449048624841</v>
          </cell>
        </row>
        <row r="644">
          <cell r="EO644">
            <v>2954.7</v>
          </cell>
          <cell r="GL644">
            <v>2258.6374829908782</v>
          </cell>
        </row>
        <row r="645">
          <cell r="EO645">
            <v>4091.4333333333302</v>
          </cell>
          <cell r="GL645">
            <v>3420.4693162610442</v>
          </cell>
        </row>
        <row r="646">
          <cell r="EO646">
            <v>3749</v>
          </cell>
          <cell r="GL646">
            <v>3497.7402077999209</v>
          </cell>
        </row>
        <row r="647">
          <cell r="EO647">
            <v>2915.8333333333298</v>
          </cell>
          <cell r="GL647">
            <v>3432.7214755355221</v>
          </cell>
        </row>
        <row r="648">
          <cell r="EO648">
            <v>3037</v>
          </cell>
          <cell r="GL648">
            <v>3360.8000855673267</v>
          </cell>
        </row>
        <row r="649">
          <cell r="EO649">
            <v>3142.5333333333301</v>
          </cell>
          <cell r="GL649">
            <v>3487.815302786456</v>
          </cell>
        </row>
        <row r="650">
          <cell r="EO650">
            <v>1962.3333333333301</v>
          </cell>
          <cell r="GL650">
            <v>2259.35177783362</v>
          </cell>
        </row>
        <row r="651">
          <cell r="EO651">
            <v>1991.3333333333301</v>
          </cell>
          <cell r="GL651">
            <v>2296.8992854888847</v>
          </cell>
        </row>
        <row r="652">
          <cell r="EO652">
            <v>1926.2</v>
          </cell>
          <cell r="GL652">
            <v>2260.9089942724031</v>
          </cell>
        </row>
        <row r="653">
          <cell r="EO653">
            <v>2429</v>
          </cell>
          <cell r="GL653">
            <v>2990.6541020212776</v>
          </cell>
        </row>
        <row r="654">
          <cell r="EO654">
            <v>2849.3</v>
          </cell>
          <cell r="GL654">
            <v>3100.8424988581851</v>
          </cell>
        </row>
        <row r="655">
          <cell r="EO655">
            <v>2781.6666666666601</v>
          </cell>
          <cell r="GL655">
            <v>3028.0803774801602</v>
          </cell>
        </row>
        <row r="656">
          <cell r="EO656">
            <v>1706.5</v>
          </cell>
          <cell r="GL656">
            <v>1825.7285907863716</v>
          </cell>
        </row>
        <row r="657">
          <cell r="EO657">
            <v>1619.4666666666601</v>
          </cell>
          <cell r="GL657">
            <v>1858.2206008520525</v>
          </cell>
        </row>
        <row r="658">
          <cell r="EO658">
            <v>1631.6666666666599</v>
          </cell>
          <cell r="GL658">
            <v>1833.4399996575457</v>
          </cell>
        </row>
        <row r="659">
          <cell r="EO659">
            <v>1633.63333333333</v>
          </cell>
          <cell r="GL659">
            <v>1816.495211019982</v>
          </cell>
        </row>
        <row r="660">
          <cell r="EO660">
            <v>3075.7666666666601</v>
          </cell>
          <cell r="GL660">
            <v>3035.9233529123026</v>
          </cell>
        </row>
        <row r="661">
          <cell r="EO661">
            <v>1547.4</v>
          </cell>
          <cell r="GL661">
            <v>1692.4766746488872</v>
          </cell>
        </row>
        <row r="662">
          <cell r="EO662">
            <v>1517.4</v>
          </cell>
          <cell r="GL662">
            <v>1744.9228554345668</v>
          </cell>
        </row>
        <row r="663">
          <cell r="EO663">
            <v>4249.0333333333301</v>
          </cell>
          <cell r="GL663">
            <v>3670.0536226558233</v>
          </cell>
        </row>
        <row r="664">
          <cell r="EO664">
            <v>4174.5</v>
          </cell>
          <cell r="GL664">
            <v>3739.3969205911035</v>
          </cell>
        </row>
        <row r="665">
          <cell r="EO665">
            <v>2912.0333333333301</v>
          </cell>
          <cell r="GL665">
            <v>2794.6321218098301</v>
          </cell>
        </row>
        <row r="666">
          <cell r="EO666">
            <v>2104.4666666666599</v>
          </cell>
          <cell r="GL666">
            <v>2360.1848443736699</v>
          </cell>
        </row>
        <row r="667">
          <cell r="EO667">
            <v>2146.7333333333299</v>
          </cell>
          <cell r="GL667">
            <v>2252.6013706573076</v>
          </cell>
        </row>
        <row r="668">
          <cell r="EO668">
            <v>2043.86666666666</v>
          </cell>
          <cell r="GL668">
            <v>2166.864977658116</v>
          </cell>
        </row>
        <row r="669">
          <cell r="EO669">
            <v>1976.4</v>
          </cell>
          <cell r="GL669">
            <v>2270.9070056995606</v>
          </cell>
        </row>
        <row r="670">
          <cell r="EO670">
            <v>1952</v>
          </cell>
          <cell r="GL670">
            <v>2230.3217907863718</v>
          </cell>
        </row>
        <row r="671">
          <cell r="EO671">
            <v>2129.9333333333302</v>
          </cell>
          <cell r="GL671">
            <v>2251.3794063904124</v>
          </cell>
        </row>
        <row r="672">
          <cell r="EO672">
            <v>4000.5</v>
          </cell>
          <cell r="GL672">
            <v>3183.073771646837</v>
          </cell>
        </row>
        <row r="673">
          <cell r="EO673">
            <v>3486.4666666666599</v>
          </cell>
          <cell r="GL673">
            <v>3283.7743731663818</v>
          </cell>
        </row>
        <row r="674">
          <cell r="EO674">
            <v>1630</v>
          </cell>
          <cell r="GL674">
            <v>1827.2696394744262</v>
          </cell>
        </row>
        <row r="675">
          <cell r="EO675">
            <v>2728.13333333333</v>
          </cell>
          <cell r="GL675">
            <v>2999.9767274019346</v>
          </cell>
        </row>
        <row r="676">
          <cell r="EO676">
            <v>2855.86666666666</v>
          </cell>
          <cell r="GL676">
            <v>2998.4213924727305</v>
          </cell>
        </row>
        <row r="677">
          <cell r="EO677">
            <v>1554.9</v>
          </cell>
          <cell r="GL677">
            <v>1784.3515052184507</v>
          </cell>
        </row>
        <row r="678">
          <cell r="EO678">
            <v>1609.9666666666601</v>
          </cell>
          <cell r="GL678">
            <v>1747.9415186944816</v>
          </cell>
        </row>
        <row r="679">
          <cell r="EO679">
            <v>2923.7333333333299</v>
          </cell>
          <cell r="GL679">
            <v>2874.478553409831</v>
          </cell>
        </row>
        <row r="680">
          <cell r="EO680">
            <v>1625.6</v>
          </cell>
          <cell r="GL680">
            <v>1645.1454151371377</v>
          </cell>
        </row>
        <row r="681">
          <cell r="EO681">
            <v>2105.86666666666</v>
          </cell>
          <cell r="GL681">
            <v>1830.3535855673263</v>
          </cell>
        </row>
        <row r="682">
          <cell r="EO682">
            <v>1778.3333333333301</v>
          </cell>
          <cell r="GL682">
            <v>1430.7796086754347</v>
          </cell>
        </row>
        <row r="683">
          <cell r="EO683">
            <v>1605.1</v>
          </cell>
          <cell r="GL683">
            <v>1685.0425271541681</v>
          </cell>
        </row>
        <row r="684">
          <cell r="EO684">
            <v>1582.7666666666601</v>
          </cell>
          <cell r="GL684">
            <v>1585.3452548507903</v>
          </cell>
        </row>
        <row r="685">
          <cell r="EO685">
            <v>1610.6666666666599</v>
          </cell>
          <cell r="GL685">
            <v>1640.7379487475268</v>
          </cell>
        </row>
        <row r="686">
          <cell r="EO686">
            <v>1587.9</v>
          </cell>
          <cell r="GL686">
            <v>1589.689291154797</v>
          </cell>
        </row>
        <row r="687">
          <cell r="EO687">
            <v>1634.8</v>
          </cell>
          <cell r="GL687">
            <v>1671.6972780184824</v>
          </cell>
        </row>
        <row r="688">
          <cell r="EO688">
            <v>1587.9</v>
          </cell>
          <cell r="GL688">
            <v>1626.0829469990585</v>
          </cell>
        </row>
        <row r="689">
          <cell r="EO689">
            <v>1636.2</v>
          </cell>
          <cell r="GL689">
            <v>1573.7852622982878</v>
          </cell>
        </row>
        <row r="690">
          <cell r="EO690">
            <v>1580.6</v>
          </cell>
          <cell r="GL690">
            <v>1686.5282041907026</v>
          </cell>
        </row>
        <row r="691">
          <cell r="EO691">
            <v>1622.13333333333</v>
          </cell>
          <cell r="GL691">
            <v>1599.8446300659557</v>
          </cell>
        </row>
        <row r="692">
          <cell r="EO692">
            <v>1566.06666666666</v>
          </cell>
          <cell r="GL692">
            <v>1741.9065610034227</v>
          </cell>
        </row>
        <row r="693">
          <cell r="EO693">
            <v>1602.6666666666599</v>
          </cell>
          <cell r="GL693">
            <v>1585.3452548507903</v>
          </cell>
        </row>
        <row r="694">
          <cell r="EO694">
            <v>1618.5333333333299</v>
          </cell>
          <cell r="GL694">
            <v>1536.4553626433412</v>
          </cell>
        </row>
        <row r="695">
          <cell r="EO695">
            <v>3977</v>
          </cell>
          <cell r="GL695">
            <v>3471.9068938416199</v>
          </cell>
        </row>
        <row r="696">
          <cell r="EO696">
            <v>3495.5</v>
          </cell>
          <cell r="GL696">
            <v>3492.6005894915374</v>
          </cell>
        </row>
        <row r="697">
          <cell r="EO697">
            <v>3096.0333333333301</v>
          </cell>
          <cell r="GL697">
            <v>3295.0331634218514</v>
          </cell>
        </row>
        <row r="698">
          <cell r="EO698">
            <v>2108.7333333333299</v>
          </cell>
          <cell r="GL698">
            <v>2411.2550478039575</v>
          </cell>
        </row>
        <row r="699">
          <cell r="EO699">
            <v>2111.86666666666</v>
          </cell>
          <cell r="GL699">
            <v>2183.8079700497542</v>
          </cell>
        </row>
        <row r="700">
          <cell r="EO700">
            <v>3001.6666666666601</v>
          </cell>
          <cell r="GL700">
            <v>3288.9720443247838</v>
          </cell>
        </row>
        <row r="701">
          <cell r="EO701">
            <v>2073.2666666666601</v>
          </cell>
          <cell r="GL701">
            <v>2309.5455733882541</v>
          </cell>
        </row>
        <row r="702">
          <cell r="EO702">
            <v>1638.6</v>
          </cell>
          <cell r="GL702">
            <v>1445.5920030833195</v>
          </cell>
        </row>
        <row r="703">
          <cell r="EO703">
            <v>1604.2</v>
          </cell>
          <cell r="GL703">
            <v>1673.0958027864558</v>
          </cell>
        </row>
        <row r="704">
          <cell r="EO704">
            <v>1524.7666666666601</v>
          </cell>
          <cell r="GL704">
            <v>1538.3753398500371</v>
          </cell>
        </row>
        <row r="705">
          <cell r="EO705">
            <v>1159</v>
          </cell>
          <cell r="GL705">
            <v>1513.8215486248409</v>
          </cell>
        </row>
        <row r="706">
          <cell r="EO706">
            <v>1149.4666666666601</v>
          </cell>
          <cell r="GL706">
            <v>1409.692234903338</v>
          </cell>
        </row>
        <row r="707">
          <cell r="EO707">
            <v>1186.2</v>
          </cell>
          <cell r="GL707">
            <v>1309.7652739302794</v>
          </cell>
        </row>
        <row r="708">
          <cell r="EO708">
            <v>1230.63333333333</v>
          </cell>
          <cell r="GL708">
            <v>1380.030280271249</v>
          </cell>
        </row>
        <row r="709">
          <cell r="EO709">
            <v>2086.0666666666598</v>
          </cell>
          <cell r="GL709">
            <v>2208.3129622190845</v>
          </cell>
        </row>
        <row r="710">
          <cell r="EO710">
            <v>2110.2666666666601</v>
          </cell>
          <cell r="GL710">
            <v>2226.7944996575461</v>
          </cell>
        </row>
        <row r="711">
          <cell r="EO711">
            <v>3106.2333333333299</v>
          </cell>
          <cell r="GL711">
            <v>3336.1973152626174</v>
          </cell>
        </row>
      </sheetData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deling_final"/>
      <sheetName val="July"/>
    </sheetNames>
    <sheetDataSet>
      <sheetData sheetId="0">
        <row r="1">
          <cell r="HJ1" t="str">
            <v>소전 예측</v>
          </cell>
        </row>
        <row r="2">
          <cell r="FN2">
            <v>2695.86666666666</v>
          </cell>
          <cell r="HJ2">
            <v>2371.8012283239186</v>
          </cell>
        </row>
        <row r="3">
          <cell r="FN3">
            <v>2395.36666666666</v>
          </cell>
          <cell r="HJ3">
            <v>2328.7894714558443</v>
          </cell>
        </row>
        <row r="4">
          <cell r="FN4">
            <v>2298.6999999999998</v>
          </cell>
          <cell r="HJ4">
            <v>2417.2684589894134</v>
          </cell>
        </row>
        <row r="5">
          <cell r="FN5">
            <v>2642.6</v>
          </cell>
          <cell r="HJ5">
            <v>2391.1053038630025</v>
          </cell>
        </row>
        <row r="6">
          <cell r="FN6">
            <v>2276.9</v>
          </cell>
          <cell r="HJ6">
            <v>2474.1121026170595</v>
          </cell>
        </row>
        <row r="7">
          <cell r="FN7">
            <v>2109.5333333333301</v>
          </cell>
          <cell r="HJ7">
            <v>2423.407496276438</v>
          </cell>
        </row>
        <row r="8">
          <cell r="FN8">
            <v>2183.9333333333302</v>
          </cell>
          <cell r="HJ8">
            <v>2501.814375852091</v>
          </cell>
        </row>
        <row r="9">
          <cell r="FN9">
            <v>1922.4666666666601</v>
          </cell>
          <cell r="HJ9">
            <v>2413.1533627378358</v>
          </cell>
        </row>
        <row r="10">
          <cell r="FN10">
            <v>2029.4</v>
          </cell>
          <cell r="HJ10">
            <v>2456.6755253705123</v>
          </cell>
        </row>
        <row r="11">
          <cell r="FN11">
            <v>2124.9666666666599</v>
          </cell>
          <cell r="HJ11">
            <v>2436.2723479994629</v>
          </cell>
        </row>
        <row r="12">
          <cell r="FN12">
            <v>1949.6</v>
          </cell>
          <cell r="HJ12">
            <v>2393.5108825252591</v>
          </cell>
        </row>
        <row r="13">
          <cell r="FN13">
            <v>2112.0333333333301</v>
          </cell>
          <cell r="HJ13">
            <v>2415.1431873826723</v>
          </cell>
        </row>
        <row r="14">
          <cell r="FN14">
            <v>2035.8333333333301</v>
          </cell>
          <cell r="HJ14">
            <v>2475.2429268508113</v>
          </cell>
        </row>
        <row r="15">
          <cell r="FN15">
            <v>2036.13333333333</v>
          </cell>
          <cell r="HJ15">
            <v>2396.226633349529</v>
          </cell>
        </row>
        <row r="16">
          <cell r="FN16">
            <v>1473.1666666666599</v>
          </cell>
          <cell r="HJ16">
            <v>1410.7340348740836</v>
          </cell>
        </row>
        <row r="17">
          <cell r="FN17">
            <v>1522.8</v>
          </cell>
          <cell r="HJ17">
            <v>1307.6705412714191</v>
          </cell>
        </row>
        <row r="18">
          <cell r="FN18">
            <v>1494.7</v>
          </cell>
          <cell r="HJ18">
            <v>1334.1117033547566</v>
          </cell>
        </row>
        <row r="19">
          <cell r="FN19">
            <v>4913.8333333333303</v>
          </cell>
          <cell r="HJ19">
            <v>4918.6157999769421</v>
          </cell>
        </row>
        <row r="20">
          <cell r="FN20">
            <v>4517.3666666666604</v>
          </cell>
          <cell r="HJ20">
            <v>4487.7235407979751</v>
          </cell>
        </row>
        <row r="21">
          <cell r="FN21">
            <v>3372.7333333333299</v>
          </cell>
          <cell r="HJ21">
            <v>3049.7564601969866</v>
          </cell>
        </row>
        <row r="22">
          <cell r="FN22">
            <v>3130.5</v>
          </cell>
          <cell r="HJ22">
            <v>3073.8576209070106</v>
          </cell>
        </row>
        <row r="23">
          <cell r="FN23">
            <v>2151.9666666666599</v>
          </cell>
          <cell r="HJ23">
            <v>2380.9201956076149</v>
          </cell>
        </row>
        <row r="24">
          <cell r="FN24">
            <v>2244.4</v>
          </cell>
          <cell r="HJ24">
            <v>2466.7607174210962</v>
          </cell>
        </row>
        <row r="25">
          <cell r="FN25">
            <v>2196.0333333333301</v>
          </cell>
          <cell r="HJ25">
            <v>2430.2809847251383</v>
          </cell>
        </row>
        <row r="26">
          <cell r="FN26">
            <v>2290.9333333333302</v>
          </cell>
          <cell r="HJ26">
            <v>2508.8760528686771</v>
          </cell>
        </row>
        <row r="27">
          <cell r="FN27">
            <v>2227</v>
          </cell>
          <cell r="HJ27">
            <v>2495.6564495154935</v>
          </cell>
        </row>
        <row r="28">
          <cell r="FN28">
            <v>2227</v>
          </cell>
          <cell r="HJ28">
            <v>2448.8234144057324</v>
          </cell>
        </row>
        <row r="29">
          <cell r="FN29">
            <v>2170.4</v>
          </cell>
          <cell r="HJ29">
            <v>2454.6804613082495</v>
          </cell>
        </row>
        <row r="30">
          <cell r="FN30">
            <v>2201.4666666666599</v>
          </cell>
          <cell r="HJ30">
            <v>2452.8894971522905</v>
          </cell>
        </row>
        <row r="31">
          <cell r="FN31">
            <v>2184.0666666666598</v>
          </cell>
          <cell r="HJ31">
            <v>2468.0248131575827</v>
          </cell>
        </row>
        <row r="32">
          <cell r="FN32">
            <v>2068.1666666666601</v>
          </cell>
          <cell r="HJ32">
            <v>2452.3565048852579</v>
          </cell>
        </row>
        <row r="33">
          <cell r="FN33">
            <v>2060.5333333333301</v>
          </cell>
          <cell r="HJ33">
            <v>2435.9332467645318</v>
          </cell>
        </row>
        <row r="34">
          <cell r="FN34">
            <v>2108.4666666666599</v>
          </cell>
          <cell r="HJ34">
            <v>2454.0531812580912</v>
          </cell>
        </row>
        <row r="35">
          <cell r="FN35">
            <v>1983.9</v>
          </cell>
          <cell r="HJ35">
            <v>2435.5412437014065</v>
          </cell>
        </row>
        <row r="36">
          <cell r="FN36">
            <v>2133.0666666666598</v>
          </cell>
          <cell r="HJ36">
            <v>2458.7312920085178</v>
          </cell>
        </row>
        <row r="37">
          <cell r="FN37">
            <v>2075.36666666666</v>
          </cell>
          <cell r="HJ37">
            <v>2458.4536511134529</v>
          </cell>
        </row>
        <row r="38">
          <cell r="FN38">
            <v>2377.9</v>
          </cell>
          <cell r="HJ38">
            <v>2345.1847073259387</v>
          </cell>
        </row>
        <row r="39">
          <cell r="FN39">
            <v>2510.0333333333301</v>
          </cell>
          <cell r="HJ39">
            <v>2201.0606085105455</v>
          </cell>
        </row>
        <row r="40">
          <cell r="FN40">
            <v>2181.8000000000002</v>
          </cell>
          <cell r="HJ40">
            <v>2321.5624862695677</v>
          </cell>
        </row>
        <row r="41">
          <cell r="FN41">
            <v>2810.1</v>
          </cell>
          <cell r="HJ41">
            <v>3050.4646369639299</v>
          </cell>
        </row>
        <row r="42">
          <cell r="FN42">
            <v>2971.2666666666601</v>
          </cell>
          <cell r="HJ42">
            <v>2988.2568439753472</v>
          </cell>
        </row>
        <row r="43">
          <cell r="FN43">
            <v>2120.4</v>
          </cell>
          <cell r="HJ43">
            <v>2424.2525631056833</v>
          </cell>
        </row>
        <row r="44">
          <cell r="FN44">
            <v>2022.8</v>
          </cell>
          <cell r="HJ44">
            <v>2493.0048854962006</v>
          </cell>
        </row>
        <row r="45">
          <cell r="FN45">
            <v>1859.4</v>
          </cell>
          <cell r="HJ45">
            <v>2338.0662813325907</v>
          </cell>
        </row>
        <row r="46">
          <cell r="FN46">
            <v>1957.6</v>
          </cell>
          <cell r="HJ46">
            <v>2503.4012179582251</v>
          </cell>
        </row>
        <row r="47">
          <cell r="FN47">
            <v>2061.6666666666601</v>
          </cell>
          <cell r="HJ47">
            <v>2437.5417691552329</v>
          </cell>
        </row>
        <row r="48">
          <cell r="FN48">
            <v>1946.8333333333301</v>
          </cell>
          <cell r="HJ48">
            <v>2512.7594170506727</v>
          </cell>
        </row>
        <row r="49">
          <cell r="FN49">
            <v>2106.4</v>
          </cell>
          <cell r="HJ49">
            <v>2505.9355306677371</v>
          </cell>
        </row>
        <row r="50">
          <cell r="FN50">
            <v>1998.3333333333301</v>
          </cell>
          <cell r="HJ50">
            <v>2423.7640014530343</v>
          </cell>
        </row>
        <row r="51">
          <cell r="FN51">
            <v>2042.7666666666601</v>
          </cell>
          <cell r="HJ51">
            <v>2476.0392846647401</v>
          </cell>
        </row>
        <row r="52">
          <cell r="FN52">
            <v>2066.6</v>
          </cell>
          <cell r="HJ52">
            <v>2504.7097463777782</v>
          </cell>
        </row>
        <row r="53">
          <cell r="FN53">
            <v>1495.2</v>
          </cell>
          <cell r="HJ53">
            <v>1316.4773776994834</v>
          </cell>
        </row>
        <row r="54">
          <cell r="FN54">
            <v>1596.9</v>
          </cell>
          <cell r="HJ54">
            <v>1367.4381013601906</v>
          </cell>
        </row>
        <row r="55">
          <cell r="FN55">
            <v>1563.4</v>
          </cell>
          <cell r="HJ55">
            <v>1359.177672249617</v>
          </cell>
        </row>
        <row r="56">
          <cell r="FN56">
            <v>1535.13333333333</v>
          </cell>
          <cell r="HJ56">
            <v>1400.259459578353</v>
          </cell>
        </row>
        <row r="57">
          <cell r="FN57">
            <v>1493.43333333333</v>
          </cell>
          <cell r="HJ57">
            <v>1224.3533937006259</v>
          </cell>
        </row>
        <row r="58">
          <cell r="FN58">
            <v>3591.9333333333302</v>
          </cell>
          <cell r="HJ58">
            <v>3099.3898772803573</v>
          </cell>
        </row>
        <row r="59">
          <cell r="FN59">
            <v>1515.9</v>
          </cell>
          <cell r="HJ59">
            <v>1158.0425485405672</v>
          </cell>
        </row>
        <row r="60">
          <cell r="FN60">
            <v>3102.2333333333299</v>
          </cell>
          <cell r="HJ60">
            <v>2502.4527609538336</v>
          </cell>
        </row>
        <row r="61">
          <cell r="FN61">
            <v>1607.2</v>
          </cell>
          <cell r="HJ61">
            <v>1146.8597404027419</v>
          </cell>
        </row>
        <row r="62">
          <cell r="FN62">
            <v>1527.56666666666</v>
          </cell>
          <cell r="HJ62">
            <v>1270.6733438564684</v>
          </cell>
        </row>
        <row r="63">
          <cell r="FN63">
            <v>1571.06666666666</v>
          </cell>
          <cell r="HJ63">
            <v>1294.537182949558</v>
          </cell>
        </row>
        <row r="64">
          <cell r="FN64">
            <v>1550.3</v>
          </cell>
          <cell r="HJ64">
            <v>1312.7194402709115</v>
          </cell>
        </row>
        <row r="65">
          <cell r="FN65">
            <v>1561</v>
          </cell>
          <cell r="HJ65">
            <v>1376.716400990631</v>
          </cell>
        </row>
        <row r="66">
          <cell r="FN66">
            <v>1518.56666666666</v>
          </cell>
          <cell r="HJ66">
            <v>1205.4297390038946</v>
          </cell>
        </row>
        <row r="67">
          <cell r="FN67">
            <v>3744.13333333333</v>
          </cell>
          <cell r="HJ67">
            <v>3026.3302355991341</v>
          </cell>
        </row>
        <row r="68">
          <cell r="FN68">
            <v>2437</v>
          </cell>
          <cell r="HJ68">
            <v>2889.2299137676819</v>
          </cell>
        </row>
        <row r="69">
          <cell r="FN69">
            <v>2500.1666666666601</v>
          </cell>
          <cell r="HJ69">
            <v>2929.7114680874811</v>
          </cell>
        </row>
        <row r="70">
          <cell r="FN70">
            <v>2554.6999999999998</v>
          </cell>
          <cell r="HJ70">
            <v>2943.7813677050362</v>
          </cell>
        </row>
        <row r="71">
          <cell r="FN71">
            <v>2549.1999999999998</v>
          </cell>
          <cell r="HJ71">
            <v>3017.11310404601</v>
          </cell>
        </row>
        <row r="72">
          <cell r="FN72">
            <v>3940.2666666666601</v>
          </cell>
          <cell r="HJ72">
            <v>3087.2949714197839</v>
          </cell>
        </row>
        <row r="73">
          <cell r="FN73">
            <v>3613.5</v>
          </cell>
          <cell r="HJ73">
            <v>3059.2074852011874</v>
          </cell>
        </row>
        <row r="74">
          <cell r="FN74">
            <v>3518.6666666666601</v>
          </cell>
          <cell r="HJ74">
            <v>3047.4385574735757</v>
          </cell>
        </row>
        <row r="75">
          <cell r="FN75">
            <v>3341.2666666666601</v>
          </cell>
          <cell r="HJ75">
            <v>3098.7426027708257</v>
          </cell>
        </row>
        <row r="76">
          <cell r="FN76">
            <v>3256.5666666666598</v>
          </cell>
          <cell r="HJ76">
            <v>3092.0013293018264</v>
          </cell>
        </row>
        <row r="77">
          <cell r="FN77">
            <v>3235.9333333333302</v>
          </cell>
          <cell r="HJ77">
            <v>3105.3760507459665</v>
          </cell>
        </row>
        <row r="78">
          <cell r="FN78">
            <v>3224.3</v>
          </cell>
          <cell r="HJ78">
            <v>3103.7971542033802</v>
          </cell>
        </row>
        <row r="79">
          <cell r="FN79">
            <v>3102.1666666666601</v>
          </cell>
          <cell r="HJ79">
            <v>3039.1552591259915</v>
          </cell>
        </row>
        <row r="80">
          <cell r="FN80">
            <v>3043</v>
          </cell>
          <cell r="HJ80">
            <v>3066.1764886013093</v>
          </cell>
        </row>
        <row r="81">
          <cell r="FN81">
            <v>3058.2333333333299</v>
          </cell>
          <cell r="HJ81">
            <v>3039.8288520391143</v>
          </cell>
        </row>
        <row r="82">
          <cell r="FN82">
            <v>2656.2333333333299</v>
          </cell>
          <cell r="HJ82">
            <v>3084.2130097727882</v>
          </cell>
        </row>
        <row r="83">
          <cell r="FN83">
            <v>2648.0666666666598</v>
          </cell>
          <cell r="HJ83">
            <v>3008.5292005624628</v>
          </cell>
        </row>
        <row r="84">
          <cell r="FN84">
            <v>2932</v>
          </cell>
          <cell r="HJ84">
            <v>3069.2981683580456</v>
          </cell>
        </row>
        <row r="85">
          <cell r="FN85">
            <v>2979.6</v>
          </cell>
          <cell r="HJ85">
            <v>3080.2014187999398</v>
          </cell>
        </row>
        <row r="86">
          <cell r="FN86">
            <v>3016.7333333333299</v>
          </cell>
          <cell r="HJ86">
            <v>3067.2047574049438</v>
          </cell>
        </row>
        <row r="87">
          <cell r="FN87">
            <v>3204.5666666666598</v>
          </cell>
          <cell r="HJ87">
            <v>3113.2602454754892</v>
          </cell>
        </row>
        <row r="88">
          <cell r="FN88">
            <v>3374.0666666666598</v>
          </cell>
          <cell r="HJ88">
            <v>3074.535320102053</v>
          </cell>
        </row>
        <row r="89">
          <cell r="FN89">
            <v>3019.9</v>
          </cell>
          <cell r="HJ89">
            <v>3024.4906763955591</v>
          </cell>
        </row>
        <row r="90">
          <cell r="FN90">
            <v>2837.4333333333302</v>
          </cell>
          <cell r="HJ90">
            <v>2921.677893213779</v>
          </cell>
        </row>
        <row r="91">
          <cell r="FN91">
            <v>2690.2666666666601</v>
          </cell>
          <cell r="HJ91">
            <v>2982.5716250295559</v>
          </cell>
        </row>
        <row r="92">
          <cell r="FN92">
            <v>2550.9333333333302</v>
          </cell>
          <cell r="HJ92">
            <v>3015.8079693680838</v>
          </cell>
        </row>
        <row r="93">
          <cell r="FN93">
            <v>2159.5</v>
          </cell>
          <cell r="HJ93">
            <v>2479.179827302165</v>
          </cell>
        </row>
        <row r="94">
          <cell r="FN94">
            <v>2172.2666666666601</v>
          </cell>
          <cell r="HJ94">
            <v>2416.5397690658456</v>
          </cell>
        </row>
        <row r="95">
          <cell r="FN95">
            <v>2106.9666666666599</v>
          </cell>
          <cell r="HJ95">
            <v>2403.2582290473192</v>
          </cell>
        </row>
        <row r="96">
          <cell r="FN96">
            <v>6678.4</v>
          </cell>
          <cell r="HJ96">
            <v>5870.89991215398</v>
          </cell>
        </row>
        <row r="97">
          <cell r="FN97">
            <v>6067.7666666666601</v>
          </cell>
          <cell r="HJ97">
            <v>5621.1212946942887</v>
          </cell>
        </row>
        <row r="98">
          <cell r="FN98">
            <v>5879.9333333333298</v>
          </cell>
          <cell r="HJ98">
            <v>5372.0435462216101</v>
          </cell>
        </row>
        <row r="99">
          <cell r="FN99">
            <v>2647.2333333333299</v>
          </cell>
          <cell r="HJ99">
            <v>2987.3192116480786</v>
          </cell>
        </row>
        <row r="100">
          <cell r="FN100">
            <v>2702.9</v>
          </cell>
          <cell r="HJ100">
            <v>2992.3735972077811</v>
          </cell>
        </row>
        <row r="101">
          <cell r="FN101">
            <v>2755.4</v>
          </cell>
          <cell r="HJ101">
            <v>2960.8543623138885</v>
          </cell>
        </row>
        <row r="102">
          <cell r="FN102">
            <v>2876.2</v>
          </cell>
          <cell r="HJ102">
            <v>2862.0840185953302</v>
          </cell>
        </row>
        <row r="103">
          <cell r="FN103">
            <v>2847.8333333333298</v>
          </cell>
          <cell r="HJ103">
            <v>2969.9558891331271</v>
          </cell>
        </row>
        <row r="104">
          <cell r="FN104">
            <v>2647</v>
          </cell>
          <cell r="HJ104">
            <v>2892.0778761156726</v>
          </cell>
        </row>
        <row r="105">
          <cell r="FN105">
            <v>2669.13333333333</v>
          </cell>
          <cell r="HJ105">
            <v>2816.7070228909165</v>
          </cell>
        </row>
        <row r="106">
          <cell r="FN106">
            <v>2504.6</v>
          </cell>
          <cell r="HJ106">
            <v>2859.3918478003948</v>
          </cell>
        </row>
        <row r="107">
          <cell r="FN107">
            <v>2392.1666666666601</v>
          </cell>
          <cell r="HJ107">
            <v>2964.6030983715223</v>
          </cell>
        </row>
        <row r="108">
          <cell r="FN108">
            <v>2388.0333333333301</v>
          </cell>
          <cell r="HJ108">
            <v>2883.1617964159809</v>
          </cell>
        </row>
        <row r="109">
          <cell r="FN109">
            <v>2353.1</v>
          </cell>
          <cell r="HJ109">
            <v>2897.1419089133042</v>
          </cell>
        </row>
        <row r="110">
          <cell r="FN110">
            <v>2483.0333333333301</v>
          </cell>
          <cell r="HJ110">
            <v>2807.7134215472174</v>
          </cell>
        </row>
        <row r="111">
          <cell r="FN111">
            <v>2456.2666666666601</v>
          </cell>
          <cell r="HJ111">
            <v>2952.4252217069966</v>
          </cell>
        </row>
        <row r="112">
          <cell r="FN112">
            <v>2457.6</v>
          </cell>
          <cell r="HJ112">
            <v>2888.5476675221598</v>
          </cell>
        </row>
        <row r="113">
          <cell r="FN113">
            <v>2562.5666666666598</v>
          </cell>
          <cell r="HJ113">
            <v>2923.8747454889499</v>
          </cell>
        </row>
        <row r="114">
          <cell r="FN114">
            <v>2543.1999999999998</v>
          </cell>
          <cell r="HJ114">
            <v>2964.2911367327356</v>
          </cell>
        </row>
        <row r="115">
          <cell r="FN115">
            <v>2538.86666666666</v>
          </cell>
          <cell r="HJ115">
            <v>2968.6670808952363</v>
          </cell>
        </row>
        <row r="116">
          <cell r="FN116">
            <v>2339</v>
          </cell>
          <cell r="HJ116">
            <v>2963.2203531300452</v>
          </cell>
        </row>
        <row r="117">
          <cell r="FN117">
            <v>2690.8</v>
          </cell>
          <cell r="HJ117">
            <v>2964.3844265150374</v>
          </cell>
        </row>
        <row r="118">
          <cell r="FN118">
            <v>2400.9333333333302</v>
          </cell>
          <cell r="HJ118">
            <v>2932.5960235096159</v>
          </cell>
        </row>
        <row r="119">
          <cell r="FN119">
            <v>2466.5333333333301</v>
          </cell>
          <cell r="HJ119">
            <v>2903.483276544021</v>
          </cell>
        </row>
        <row r="120">
          <cell r="FN120">
            <v>2379.8000000000002</v>
          </cell>
          <cell r="HJ120">
            <v>2986.8336010673506</v>
          </cell>
        </row>
        <row r="121">
          <cell r="FN121">
            <v>2373.63333333333</v>
          </cell>
          <cell r="HJ121">
            <v>2965.6451797167169</v>
          </cell>
        </row>
        <row r="122">
          <cell r="FN122">
            <v>2389.4666666666599</v>
          </cell>
          <cell r="HJ122">
            <v>2976.0555007635048</v>
          </cell>
        </row>
        <row r="123">
          <cell r="FN123">
            <v>2300.2666666666601</v>
          </cell>
          <cell r="HJ123">
            <v>2938.3852804712064</v>
          </cell>
        </row>
        <row r="124">
          <cell r="FN124">
            <v>2559.4333333333302</v>
          </cell>
          <cell r="HJ124">
            <v>2930.2537609986534</v>
          </cell>
        </row>
        <row r="125">
          <cell r="FN125">
            <v>2481.5666666666598</v>
          </cell>
          <cell r="HJ125">
            <v>2912.4223034079932</v>
          </cell>
        </row>
        <row r="126">
          <cell r="FN126">
            <v>2388</v>
          </cell>
          <cell r="HJ126">
            <v>2901.8616726764944</v>
          </cell>
        </row>
        <row r="127">
          <cell r="FN127">
            <v>2112.9666666666599</v>
          </cell>
          <cell r="HJ127">
            <v>2759.1046456793674</v>
          </cell>
        </row>
        <row r="128">
          <cell r="FN128">
            <v>2393.5666666666598</v>
          </cell>
          <cell r="HJ128">
            <v>2811.7431454828579</v>
          </cell>
        </row>
        <row r="129">
          <cell r="FN129">
            <v>2329.86666666666</v>
          </cell>
          <cell r="HJ129">
            <v>2944.7591311200267</v>
          </cell>
        </row>
        <row r="130">
          <cell r="FN130">
            <v>2330.63333333333</v>
          </cell>
          <cell r="HJ130">
            <v>2974.9759328778014</v>
          </cell>
        </row>
        <row r="131">
          <cell r="FN131">
            <v>2384.4666666666599</v>
          </cell>
          <cell r="HJ131">
            <v>2959.2744880989558</v>
          </cell>
        </row>
        <row r="132">
          <cell r="FN132">
            <v>2048.6999999999998</v>
          </cell>
          <cell r="HJ132">
            <v>2413.8246969899901</v>
          </cell>
        </row>
        <row r="133">
          <cell r="FN133">
            <v>2076.5</v>
          </cell>
          <cell r="HJ133">
            <v>2434.5183475195836</v>
          </cell>
        </row>
        <row r="134">
          <cell r="FN134">
            <v>2154.2666666666601</v>
          </cell>
          <cell r="HJ134">
            <v>2448.7681505288592</v>
          </cell>
        </row>
        <row r="135">
          <cell r="FN135">
            <v>2215.2333333333299</v>
          </cell>
          <cell r="HJ135">
            <v>2455.0300024985863</v>
          </cell>
        </row>
        <row r="136">
          <cell r="FN136">
            <v>1661.5333333333299</v>
          </cell>
          <cell r="HJ136">
            <v>1906.0700007148594</v>
          </cell>
        </row>
        <row r="137">
          <cell r="FN137">
            <v>1572.2666666666601</v>
          </cell>
          <cell r="HJ137">
            <v>1643.5668140741877</v>
          </cell>
        </row>
        <row r="138">
          <cell r="FN138">
            <v>4978.7666666666601</v>
          </cell>
          <cell r="HJ138">
            <v>4445.4484757036753</v>
          </cell>
        </row>
        <row r="139">
          <cell r="FN139">
            <v>3267.9333333333302</v>
          </cell>
          <cell r="HJ139">
            <v>2746.4588647718547</v>
          </cell>
        </row>
        <row r="140">
          <cell r="FN140">
            <v>2885</v>
          </cell>
          <cell r="HJ140">
            <v>2382.5370498169477</v>
          </cell>
        </row>
        <row r="141">
          <cell r="FN141">
            <v>2589.1666666666601</v>
          </cell>
          <cell r="HJ141">
            <v>2332.1515661680733</v>
          </cell>
        </row>
        <row r="142">
          <cell r="FN142">
            <v>2690.5</v>
          </cell>
          <cell r="HJ142">
            <v>2384.6476575463485</v>
          </cell>
        </row>
        <row r="143">
          <cell r="FN143">
            <v>2279.63333333333</v>
          </cell>
          <cell r="HJ143">
            <v>2426.2195605405122</v>
          </cell>
        </row>
        <row r="144">
          <cell r="FN144">
            <v>2500.13333333333</v>
          </cell>
          <cell r="HJ144">
            <v>2237.1116254522458</v>
          </cell>
        </row>
        <row r="145">
          <cell r="FN145">
            <v>2180.1</v>
          </cell>
          <cell r="HJ145">
            <v>2298.2430418802578</v>
          </cell>
        </row>
        <row r="146">
          <cell r="FN146">
            <v>2215.4666666666599</v>
          </cell>
          <cell r="HJ146">
            <v>1774.1674873037064</v>
          </cell>
        </row>
        <row r="147">
          <cell r="FN147">
            <v>2112.1999999999998</v>
          </cell>
          <cell r="HJ147">
            <v>1812.3953985683804</v>
          </cell>
        </row>
        <row r="148">
          <cell r="FN148">
            <v>1435.8333333333301</v>
          </cell>
          <cell r="HJ148">
            <v>1234.1895054697898</v>
          </cell>
        </row>
        <row r="149">
          <cell r="FN149">
            <v>2204.6</v>
          </cell>
          <cell r="HJ149">
            <v>1676.166420833993</v>
          </cell>
        </row>
        <row r="150">
          <cell r="FN150">
            <v>2215.13333333333</v>
          </cell>
          <cell r="HJ150">
            <v>1714.5534261257239</v>
          </cell>
        </row>
        <row r="151">
          <cell r="FN151">
            <v>2123</v>
          </cell>
          <cell r="HJ151">
            <v>1787.1585707022864</v>
          </cell>
        </row>
        <row r="152">
          <cell r="FN152">
            <v>2344.6</v>
          </cell>
          <cell r="HJ152">
            <v>1949.693948754702</v>
          </cell>
        </row>
        <row r="153">
          <cell r="FN153">
            <v>2283.9333333333302</v>
          </cell>
          <cell r="HJ153">
            <v>1919.9684577723192</v>
          </cell>
        </row>
        <row r="154">
          <cell r="FN154">
            <v>2260.5333333333301</v>
          </cell>
          <cell r="HJ154">
            <v>1928.8528150115035</v>
          </cell>
        </row>
        <row r="155">
          <cell r="FN155">
            <v>2115.6</v>
          </cell>
          <cell r="HJ155">
            <v>1877.5393150207979</v>
          </cell>
        </row>
        <row r="156">
          <cell r="FN156">
            <v>2046.93333333333</v>
          </cell>
          <cell r="HJ156">
            <v>1900.0358866490069</v>
          </cell>
        </row>
        <row r="157">
          <cell r="FN157">
            <v>2102.1999999999998</v>
          </cell>
          <cell r="HJ157">
            <v>1886.9058189688471</v>
          </cell>
        </row>
        <row r="158">
          <cell r="FN158">
            <v>2178.2333333333299</v>
          </cell>
          <cell r="HJ158">
            <v>1992.4905279230838</v>
          </cell>
        </row>
        <row r="159">
          <cell r="FN159">
            <v>2144.3000000000002</v>
          </cell>
          <cell r="HJ159">
            <v>1927.6240355892755</v>
          </cell>
        </row>
        <row r="160">
          <cell r="FN160">
            <v>5923.4333333333298</v>
          </cell>
          <cell r="HJ160">
            <v>5570.0639802270434</v>
          </cell>
        </row>
        <row r="161">
          <cell r="FN161">
            <v>6290.9333333333298</v>
          </cell>
          <cell r="HJ161">
            <v>5319.2148904739879</v>
          </cell>
        </row>
        <row r="162">
          <cell r="FN162">
            <v>1683.2333333333299</v>
          </cell>
          <cell r="HJ162">
            <v>1503.5664284666764</v>
          </cell>
        </row>
        <row r="163">
          <cell r="FN163">
            <v>1637</v>
          </cell>
          <cell r="HJ163">
            <v>1318.2911020557804</v>
          </cell>
        </row>
        <row r="164">
          <cell r="FN164">
            <v>1671.2666666666601</v>
          </cell>
          <cell r="HJ164">
            <v>1419.9508825252592</v>
          </cell>
        </row>
        <row r="165">
          <cell r="FN165">
            <v>1615.7333333333299</v>
          </cell>
          <cell r="HJ165">
            <v>1518.6236497910099</v>
          </cell>
        </row>
        <row r="166">
          <cell r="FN166">
            <v>1815.2333333333299</v>
          </cell>
          <cell r="HJ166">
            <v>1665.2288502085635</v>
          </cell>
        </row>
        <row r="167">
          <cell r="FN167">
            <v>5776.0333333333301</v>
          </cell>
          <cell r="HJ167">
            <v>5279.9455413107808</v>
          </cell>
        </row>
        <row r="168">
          <cell r="FN168">
            <v>5481.4666666666599</v>
          </cell>
          <cell r="HJ168">
            <v>4603.9062209095209</v>
          </cell>
        </row>
        <row r="169">
          <cell r="FN169">
            <v>1805.0333333333299</v>
          </cell>
          <cell r="HJ169">
            <v>2076.3713281767914</v>
          </cell>
        </row>
        <row r="170">
          <cell r="FN170">
            <v>1911.1666666666599</v>
          </cell>
          <cell r="HJ170">
            <v>2113.7556581120953</v>
          </cell>
        </row>
        <row r="171">
          <cell r="FN171">
            <v>6390.8333333333303</v>
          </cell>
          <cell r="HJ171">
            <v>5688.4113938334922</v>
          </cell>
        </row>
        <row r="172">
          <cell r="FN172">
            <v>2275</v>
          </cell>
          <cell r="HJ172">
            <v>2936.0312047549755</v>
          </cell>
        </row>
        <row r="173">
          <cell r="FN173">
            <v>3606.13333333333</v>
          </cell>
          <cell r="HJ173">
            <v>3637.8399802626641</v>
          </cell>
        </row>
        <row r="174">
          <cell r="FN174">
            <v>3735</v>
          </cell>
          <cell r="HJ174">
            <v>3601.9832061830753</v>
          </cell>
        </row>
        <row r="175">
          <cell r="FN175">
            <v>3805.7333333333299</v>
          </cell>
          <cell r="HJ175">
            <v>3598.1054298959966</v>
          </cell>
        </row>
        <row r="176">
          <cell r="FN176">
            <v>3362.0666666666598</v>
          </cell>
          <cell r="HJ176">
            <v>3471.6808123783981</v>
          </cell>
        </row>
        <row r="177">
          <cell r="FN177">
            <v>3214.9</v>
          </cell>
          <cell r="HJ177">
            <v>3484.2109186688867</v>
          </cell>
        </row>
        <row r="178">
          <cell r="FN178">
            <v>1679.9</v>
          </cell>
          <cell r="HJ178">
            <v>1429.0565703133339</v>
          </cell>
        </row>
        <row r="179">
          <cell r="FN179">
            <v>1586.4666666666601</v>
          </cell>
          <cell r="HJ179">
            <v>1475.9048832318826</v>
          </cell>
        </row>
        <row r="180">
          <cell r="FN180">
            <v>1705.1666666666599</v>
          </cell>
          <cell r="HJ180">
            <v>1368.211695286222</v>
          </cell>
        </row>
        <row r="181">
          <cell r="FN181">
            <v>1622.7</v>
          </cell>
          <cell r="HJ181">
            <v>1253.3672343990543</v>
          </cell>
        </row>
        <row r="182">
          <cell r="FN182">
            <v>2813.6</v>
          </cell>
          <cell r="HJ182">
            <v>2255.8091187745322</v>
          </cell>
        </row>
        <row r="183">
          <cell r="FN183">
            <v>2106.7666666666601</v>
          </cell>
          <cell r="HJ183">
            <v>2123.5850870672821</v>
          </cell>
        </row>
        <row r="184">
          <cell r="FN184">
            <v>1628.63333333333</v>
          </cell>
          <cell r="HJ184">
            <v>1283.4253968527787</v>
          </cell>
        </row>
        <row r="185">
          <cell r="FN185">
            <v>3803.6666666666601</v>
          </cell>
          <cell r="HJ185">
            <v>3754.8606603927778</v>
          </cell>
        </row>
        <row r="186">
          <cell r="FN186">
            <v>4107.2333333333299</v>
          </cell>
          <cell r="HJ186">
            <v>3860.5552274040451</v>
          </cell>
        </row>
        <row r="187">
          <cell r="FN187">
            <v>1636.1</v>
          </cell>
          <cell r="HJ187">
            <v>1362.9555078104072</v>
          </cell>
        </row>
        <row r="188">
          <cell r="FN188">
            <v>1645.2666666666601</v>
          </cell>
          <cell r="HJ188">
            <v>1495.5582390487361</v>
          </cell>
        </row>
        <row r="189">
          <cell r="FN189">
            <v>1541.8333333333301</v>
          </cell>
          <cell r="HJ189">
            <v>1019.1374736616335</v>
          </cell>
        </row>
        <row r="190">
          <cell r="FN190">
            <v>1655</v>
          </cell>
          <cell r="HJ190">
            <v>1276.5614721692218</v>
          </cell>
        </row>
        <row r="191">
          <cell r="FN191">
            <v>1690.8333333333301</v>
          </cell>
          <cell r="HJ191">
            <v>1330.0167961132101</v>
          </cell>
        </row>
        <row r="192">
          <cell r="FN192">
            <v>1657.86666666666</v>
          </cell>
          <cell r="HJ192">
            <v>1362.7829366644191</v>
          </cell>
        </row>
        <row r="193">
          <cell r="FN193">
            <v>5129.6666666666597</v>
          </cell>
          <cell r="HJ193">
            <v>5132.9026296998754</v>
          </cell>
        </row>
        <row r="194">
          <cell r="FN194">
            <v>1971.93333333333</v>
          </cell>
          <cell r="HJ194">
            <v>2121.9487769388215</v>
          </cell>
        </row>
        <row r="195">
          <cell r="FN195">
            <v>1646.93333333333</v>
          </cell>
          <cell r="HJ195">
            <v>1159.6747031961186</v>
          </cell>
        </row>
        <row r="196">
          <cell r="FN196">
            <v>1276</v>
          </cell>
          <cell r="HJ196">
            <v>1476.1646493086605</v>
          </cell>
        </row>
        <row r="197">
          <cell r="FN197">
            <v>1469</v>
          </cell>
          <cell r="HJ197">
            <v>1198.8060551452595</v>
          </cell>
        </row>
        <row r="198">
          <cell r="FN198">
            <v>1472.0333333333299</v>
          </cell>
          <cell r="HJ198">
            <v>1274.2306552381315</v>
          </cell>
        </row>
        <row r="199">
          <cell r="FN199">
            <v>2712.6666666666601</v>
          </cell>
          <cell r="HJ199">
            <v>2322.7935774120015</v>
          </cell>
        </row>
        <row r="200">
          <cell r="FN200">
            <v>2313.6</v>
          </cell>
          <cell r="HJ200">
            <v>2296.5338311792466</v>
          </cell>
        </row>
        <row r="201">
          <cell r="FN201">
            <v>2973.2</v>
          </cell>
          <cell r="HJ201">
            <v>2445.1691440881204</v>
          </cell>
        </row>
        <row r="202">
          <cell r="FN202">
            <v>2504.2666666666601</v>
          </cell>
          <cell r="HJ202">
            <v>2302.5760996125182</v>
          </cell>
        </row>
        <row r="203">
          <cell r="FN203">
            <v>2354.4333333333302</v>
          </cell>
          <cell r="HJ203">
            <v>2364.3754834137144</v>
          </cell>
        </row>
        <row r="204">
          <cell r="FN204">
            <v>2310.1</v>
          </cell>
          <cell r="HJ204">
            <v>2391.66996459657</v>
          </cell>
        </row>
        <row r="205">
          <cell r="FN205">
            <v>1748.8333333333301</v>
          </cell>
          <cell r="HJ205">
            <v>1685.576684524101</v>
          </cell>
        </row>
        <row r="206">
          <cell r="FN206">
            <v>1470.7</v>
          </cell>
          <cell r="HJ206">
            <v>1226.6436502640586</v>
          </cell>
        </row>
        <row r="207">
          <cell r="FN207">
            <v>1323.36666666666</v>
          </cell>
          <cell r="HJ207">
            <v>868.62488924979152</v>
          </cell>
        </row>
        <row r="208">
          <cell r="FN208">
            <v>1871.06666666666</v>
          </cell>
          <cell r="HJ208">
            <v>1719.8755763158356</v>
          </cell>
        </row>
        <row r="209">
          <cell r="FN209">
            <v>2053.7333333333299</v>
          </cell>
          <cell r="HJ209">
            <v>1819.2204025816432</v>
          </cell>
        </row>
        <row r="210">
          <cell r="FN210">
            <v>1862.63333333333</v>
          </cell>
          <cell r="HJ210">
            <v>1722.6817946684023</v>
          </cell>
        </row>
        <row r="211">
          <cell r="FN211">
            <v>2035.86666666666</v>
          </cell>
          <cell r="HJ211">
            <v>1700.9308838289749</v>
          </cell>
        </row>
        <row r="212">
          <cell r="FN212">
            <v>2057.1999999999998</v>
          </cell>
          <cell r="HJ212">
            <v>1762.3707888199151</v>
          </cell>
        </row>
        <row r="213">
          <cell r="FN213">
            <v>2009.9</v>
          </cell>
          <cell r="HJ213">
            <v>1784.8410858131715</v>
          </cell>
        </row>
        <row r="214">
          <cell r="FN214">
            <v>1513.63333333333</v>
          </cell>
          <cell r="HJ214">
            <v>1230.9606699735582</v>
          </cell>
        </row>
        <row r="215">
          <cell r="FN215">
            <v>1533.63333333333</v>
          </cell>
          <cell r="HJ215">
            <v>1239.4738030621888</v>
          </cell>
        </row>
        <row r="216">
          <cell r="FN216">
            <v>2059.7666666666601</v>
          </cell>
          <cell r="HJ216">
            <v>2052.1143538629653</v>
          </cell>
        </row>
        <row r="217">
          <cell r="FN217">
            <v>1832.5</v>
          </cell>
          <cell r="HJ217">
            <v>2077.0924961683318</v>
          </cell>
        </row>
        <row r="218">
          <cell r="FN218">
            <v>2109.4666666666599</v>
          </cell>
          <cell r="HJ218">
            <v>1852.3668778846804</v>
          </cell>
        </row>
        <row r="219">
          <cell r="FN219">
            <v>2075.5333333333301</v>
          </cell>
          <cell r="HJ219">
            <v>2085.5315353236424</v>
          </cell>
        </row>
        <row r="220">
          <cell r="FN220">
            <v>1744.0333333333299</v>
          </cell>
          <cell r="HJ220">
            <v>2083.3003851538065</v>
          </cell>
        </row>
        <row r="221">
          <cell r="FN221">
            <v>1771.1666666666599</v>
          </cell>
          <cell r="HJ221">
            <v>2100.7119968758752</v>
          </cell>
        </row>
        <row r="222">
          <cell r="FN222">
            <v>2120.5666666666598</v>
          </cell>
          <cell r="HJ222">
            <v>2189.1674666383215</v>
          </cell>
        </row>
        <row r="223">
          <cell r="FN223">
            <v>2250.86666666666</v>
          </cell>
          <cell r="HJ223">
            <v>2296.4514638407354</v>
          </cell>
        </row>
        <row r="224">
          <cell r="FN224">
            <v>1546.2</v>
          </cell>
          <cell r="HJ224">
            <v>1543.5978239052088</v>
          </cell>
        </row>
        <row r="225">
          <cell r="FN225">
            <v>5555.9</v>
          </cell>
          <cell r="HJ225">
            <v>4802.2577392527701</v>
          </cell>
        </row>
        <row r="226">
          <cell r="FN226">
            <v>2107.2333333333299</v>
          </cell>
          <cell r="HJ226">
            <v>2050.6648814014038</v>
          </cell>
        </row>
        <row r="227">
          <cell r="FN227">
            <v>2396.6666666666601</v>
          </cell>
          <cell r="HJ227">
            <v>2387.032868799959</v>
          </cell>
        </row>
        <row r="228">
          <cell r="FN228">
            <v>2308.9</v>
          </cell>
          <cell r="HJ228">
            <v>2364.3532926560711</v>
          </cell>
        </row>
        <row r="229">
          <cell r="FN229">
            <v>2382.1666666666601</v>
          </cell>
          <cell r="HJ229">
            <v>2462.1583199727647</v>
          </cell>
        </row>
        <row r="230">
          <cell r="FN230">
            <v>2620.7666666666601</v>
          </cell>
          <cell r="HJ230">
            <v>2378.0167278281515</v>
          </cell>
        </row>
        <row r="231">
          <cell r="FN231">
            <v>1550.4</v>
          </cell>
          <cell r="HJ231">
            <v>1142.1757593035709</v>
          </cell>
        </row>
        <row r="232">
          <cell r="FN232">
            <v>4910.1000000000004</v>
          </cell>
          <cell r="HJ232">
            <v>3911.0928970086111</v>
          </cell>
        </row>
        <row r="233">
          <cell r="FN233">
            <v>4941.6333333333296</v>
          </cell>
          <cell r="HJ233">
            <v>3859.8260335765076</v>
          </cell>
        </row>
        <row r="234">
          <cell r="FN234">
            <v>4717.9333333333298</v>
          </cell>
          <cell r="HJ234">
            <v>3897.7336605797809</v>
          </cell>
        </row>
        <row r="235">
          <cell r="FN235">
            <v>3836.5333333333301</v>
          </cell>
          <cell r="HJ235">
            <v>3843.7700126604896</v>
          </cell>
        </row>
        <row r="236">
          <cell r="FN236">
            <v>1636</v>
          </cell>
          <cell r="HJ236">
            <v>1602.6793243056372</v>
          </cell>
        </row>
        <row r="237">
          <cell r="FN237">
            <v>1625.0333333333299</v>
          </cell>
          <cell r="HJ237">
            <v>1610.9896992072777</v>
          </cell>
        </row>
        <row r="238">
          <cell r="FN238">
            <v>1658.4666666666601</v>
          </cell>
          <cell r="HJ238">
            <v>1679.3211421804253</v>
          </cell>
        </row>
        <row r="239">
          <cell r="FN239">
            <v>1630.2333333333299</v>
          </cell>
          <cell r="HJ239">
            <v>1615.2740872694449</v>
          </cell>
        </row>
        <row r="240">
          <cell r="FN240">
            <v>1647.1666666666599</v>
          </cell>
          <cell r="HJ240">
            <v>1627.6392521226871</v>
          </cell>
        </row>
        <row r="241">
          <cell r="FN241">
            <v>1567.13333333333</v>
          </cell>
          <cell r="HJ241">
            <v>1359.3813460163551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104"/>
  <sheetViews>
    <sheetView tabSelected="1" topLeftCell="A61" zoomScale="85" zoomScaleNormal="85" workbookViewId="0">
      <selection activeCell="O72" sqref="O72"/>
    </sheetView>
  </sheetViews>
  <sheetFormatPr defaultRowHeight="16.5"/>
  <sheetData>
    <row r="1" spans="1:2" s="17" customFormat="1" ht="20.25">
      <c r="A1" s="17" t="s">
        <v>143</v>
      </c>
    </row>
    <row r="2" spans="1:2" s="17" customFormat="1" ht="20.25"/>
    <row r="3" spans="1:2">
      <c r="B3" t="s">
        <v>0</v>
      </c>
    </row>
    <row r="4" spans="1:2">
      <c r="B4" s="1" t="s">
        <v>3</v>
      </c>
    </row>
    <row r="7" spans="1:2">
      <c r="B7" t="s">
        <v>1</v>
      </c>
    </row>
    <row r="17" spans="3:11">
      <c r="C17" t="s">
        <v>4</v>
      </c>
      <c r="G17" t="s">
        <v>6</v>
      </c>
    </row>
    <row r="18" spans="3:11">
      <c r="C18" t="s">
        <v>5</v>
      </c>
      <c r="G18" t="s">
        <v>6</v>
      </c>
    </row>
    <row r="19" spans="3:11">
      <c r="C19" t="s">
        <v>7</v>
      </c>
      <c r="G19" t="s">
        <v>8</v>
      </c>
    </row>
    <row r="20" spans="3:11">
      <c r="C20" t="s">
        <v>9</v>
      </c>
      <c r="G20" t="s">
        <v>8</v>
      </c>
    </row>
    <row r="21" spans="3:11">
      <c r="C21" t="s">
        <v>11</v>
      </c>
      <c r="G21" t="s">
        <v>13</v>
      </c>
    </row>
    <row r="22" spans="3:11">
      <c r="C22" t="s">
        <v>12</v>
      </c>
      <c r="G22" t="s">
        <v>13</v>
      </c>
    </row>
    <row r="23" spans="3:11">
      <c r="C23" t="s">
        <v>10</v>
      </c>
      <c r="G23" t="s">
        <v>13</v>
      </c>
    </row>
    <row r="26" spans="3:11">
      <c r="C26" t="s">
        <v>14</v>
      </c>
    </row>
    <row r="27" spans="3:11">
      <c r="D27" s="2"/>
      <c r="K27" t="s">
        <v>15</v>
      </c>
    </row>
    <row r="28" spans="3:11">
      <c r="D28" s="2"/>
    </row>
    <row r="29" spans="3:11">
      <c r="D29" s="2"/>
      <c r="K29" t="s">
        <v>16</v>
      </c>
    </row>
    <row r="32" spans="3:11">
      <c r="D32" t="s">
        <v>22</v>
      </c>
    </row>
    <row r="33" spans="3:12">
      <c r="D33" t="s">
        <v>17</v>
      </c>
    </row>
    <row r="34" spans="3:12">
      <c r="D34" t="s">
        <v>111</v>
      </c>
    </row>
    <row r="36" spans="3:12">
      <c r="C36" t="s">
        <v>18</v>
      </c>
    </row>
    <row r="37" spans="3:12">
      <c r="D37" t="s">
        <v>110</v>
      </c>
    </row>
    <row r="39" spans="3:12">
      <c r="D39" t="s">
        <v>19</v>
      </c>
      <c r="L39" s="3" t="s">
        <v>25</v>
      </c>
    </row>
    <row r="40" spans="3:12">
      <c r="D40" t="s">
        <v>20</v>
      </c>
      <c r="L40" s="4" t="s">
        <v>26</v>
      </c>
    </row>
    <row r="41" spans="3:12">
      <c r="D41" t="s">
        <v>21</v>
      </c>
    </row>
    <row r="43" spans="3:12">
      <c r="D43" t="s">
        <v>24</v>
      </c>
      <c r="K43" s="3" t="s">
        <v>23</v>
      </c>
    </row>
    <row r="44" spans="3:12">
      <c r="D44" s="1" t="s">
        <v>30</v>
      </c>
      <c r="K44" s="5" t="s">
        <v>29</v>
      </c>
    </row>
    <row r="45" spans="3:12">
      <c r="D45" s="1" t="s">
        <v>31</v>
      </c>
    </row>
    <row r="47" spans="3:12">
      <c r="D47" t="s">
        <v>27</v>
      </c>
    </row>
    <row r="48" spans="3:12">
      <c r="D48" s="1" t="s">
        <v>28</v>
      </c>
    </row>
    <row r="50" spans="2:7">
      <c r="D50" t="s">
        <v>32</v>
      </c>
    </row>
    <row r="53" spans="2:7">
      <c r="B53" t="s">
        <v>2</v>
      </c>
    </row>
    <row r="54" spans="2:7">
      <c r="C54" t="s">
        <v>70</v>
      </c>
      <c r="G54" t="s">
        <v>71</v>
      </c>
    </row>
    <row r="55" spans="2:7">
      <c r="C55" t="s">
        <v>60</v>
      </c>
      <c r="G55" t="s">
        <v>64</v>
      </c>
    </row>
    <row r="56" spans="2:7">
      <c r="C56" t="s">
        <v>61</v>
      </c>
      <c r="G56" t="s">
        <v>65</v>
      </c>
    </row>
    <row r="57" spans="2:7">
      <c r="C57" t="s">
        <v>62</v>
      </c>
      <c r="G57" t="s">
        <v>66</v>
      </c>
    </row>
    <row r="58" spans="2:7">
      <c r="C58" t="s">
        <v>63</v>
      </c>
      <c r="G58" t="s">
        <v>67</v>
      </c>
    </row>
    <row r="59" spans="2:7">
      <c r="C59" s="18" t="s">
        <v>145</v>
      </c>
      <c r="G59" s="19" t="s">
        <v>147</v>
      </c>
    </row>
    <row r="61" spans="2:7">
      <c r="C61" t="s">
        <v>72</v>
      </c>
      <c r="G61" t="s">
        <v>73</v>
      </c>
    </row>
    <row r="62" spans="2:7">
      <c r="C62" t="s">
        <v>76</v>
      </c>
      <c r="G62" t="s">
        <v>77</v>
      </c>
    </row>
    <row r="63" spans="2:7">
      <c r="C63" t="s">
        <v>74</v>
      </c>
      <c r="G63" t="s">
        <v>75</v>
      </c>
    </row>
    <row r="64" spans="2:7">
      <c r="C64" t="s">
        <v>80</v>
      </c>
      <c r="G64" t="s">
        <v>81</v>
      </c>
    </row>
    <row r="65" spans="2:20">
      <c r="C65" t="s">
        <v>78</v>
      </c>
      <c r="G65" t="s">
        <v>79</v>
      </c>
    </row>
    <row r="66" spans="2:20">
      <c r="C66" t="s">
        <v>68</v>
      </c>
      <c r="G66" t="s">
        <v>69</v>
      </c>
    </row>
    <row r="67" spans="2:20">
      <c r="C67" s="19" t="s">
        <v>146</v>
      </c>
      <c r="G67" s="19" t="s">
        <v>148</v>
      </c>
    </row>
    <row r="70" spans="2:20">
      <c r="B70" t="s">
        <v>108</v>
      </c>
      <c r="O70" s="21" t="s">
        <v>158</v>
      </c>
    </row>
    <row r="71" spans="2:20">
      <c r="C71" s="22" t="s">
        <v>157</v>
      </c>
      <c r="D71" s="22"/>
      <c r="E71" s="22"/>
      <c r="F71" s="22"/>
      <c r="G71" s="22"/>
      <c r="H71" s="22"/>
      <c r="I71" s="22"/>
      <c r="J71" s="22"/>
      <c r="K71" s="22"/>
      <c r="O71" t="s">
        <v>159</v>
      </c>
    </row>
    <row r="72" spans="2:20">
      <c r="C72" s="22"/>
      <c r="D72" s="22"/>
      <c r="E72" s="22"/>
      <c r="F72" s="22"/>
      <c r="G72" s="22"/>
      <c r="H72" s="22"/>
      <c r="I72" s="22"/>
      <c r="J72" s="22"/>
      <c r="K72" s="22"/>
      <c r="O72" s="3" t="s">
        <v>165</v>
      </c>
    </row>
    <row r="73" spans="2:20">
      <c r="C73" s="22" t="s">
        <v>82</v>
      </c>
      <c r="D73" s="22"/>
      <c r="E73" s="22" t="s">
        <v>83</v>
      </c>
      <c r="F73" s="22"/>
      <c r="G73" s="22"/>
      <c r="H73" s="22"/>
      <c r="I73" s="22"/>
      <c r="J73" s="22"/>
      <c r="K73" s="22"/>
      <c r="O73" s="23" t="s">
        <v>82</v>
      </c>
      <c r="P73" s="23"/>
      <c r="Q73" s="23" t="s">
        <v>161</v>
      </c>
      <c r="R73" s="23"/>
      <c r="T73" t="s">
        <v>162</v>
      </c>
    </row>
    <row r="74" spans="2:20">
      <c r="C74" s="22" t="s">
        <v>84</v>
      </c>
      <c r="D74" s="22"/>
      <c r="E74" s="22" t="s">
        <v>85</v>
      </c>
      <c r="F74" s="22"/>
      <c r="G74" s="22"/>
      <c r="H74" s="22"/>
      <c r="I74" s="22"/>
      <c r="J74" s="22"/>
      <c r="K74" s="22"/>
      <c r="O74" s="23" t="s">
        <v>84</v>
      </c>
      <c r="P74" s="23"/>
      <c r="Q74" s="23" t="s">
        <v>160</v>
      </c>
      <c r="R74" s="23"/>
    </row>
    <row r="75" spans="2:20">
      <c r="C75" s="22" t="s">
        <v>86</v>
      </c>
      <c r="D75" s="22"/>
      <c r="E75" s="22"/>
      <c r="F75" s="22"/>
      <c r="G75" s="22"/>
      <c r="H75" s="22"/>
      <c r="I75" s="22"/>
      <c r="J75" s="22"/>
      <c r="K75" s="22"/>
      <c r="O75" s="3" t="s">
        <v>163</v>
      </c>
      <c r="P75" s="24"/>
      <c r="Q75" s="24" t="s">
        <v>164</v>
      </c>
    </row>
    <row r="77" spans="2:20">
      <c r="C77" t="s">
        <v>90</v>
      </c>
    </row>
    <row r="78" spans="2:20">
      <c r="D78" t="s">
        <v>87</v>
      </c>
    </row>
    <row r="79" spans="2:20">
      <c r="D79" t="s">
        <v>88</v>
      </c>
    </row>
    <row r="80" spans="2:20">
      <c r="D80" t="s">
        <v>89</v>
      </c>
    </row>
    <row r="81" spans="3:6">
      <c r="D81" t="s">
        <v>156</v>
      </c>
    </row>
    <row r="83" spans="3:6">
      <c r="C83" t="s">
        <v>91</v>
      </c>
    </row>
    <row r="84" spans="3:6">
      <c r="D84" t="s">
        <v>92</v>
      </c>
    </row>
    <row r="85" spans="3:6">
      <c r="E85" t="s">
        <v>94</v>
      </c>
    </row>
    <row r="86" spans="3:6">
      <c r="F86" t="s">
        <v>98</v>
      </c>
    </row>
    <row r="87" spans="3:6">
      <c r="E87" t="s">
        <v>95</v>
      </c>
    </row>
    <row r="88" spans="3:6">
      <c r="F88" t="s">
        <v>99</v>
      </c>
    </row>
    <row r="89" spans="3:6">
      <c r="E89" t="s">
        <v>96</v>
      </c>
    </row>
    <row r="90" spans="3:6">
      <c r="F90" t="s">
        <v>100</v>
      </c>
    </row>
    <row r="91" spans="3:6">
      <c r="E91" t="s">
        <v>97</v>
      </c>
    </row>
    <row r="92" spans="3:6">
      <c r="F92" t="s">
        <v>101</v>
      </c>
    </row>
    <row r="93" spans="3:6">
      <c r="E93" t="s">
        <v>93</v>
      </c>
    </row>
    <row r="94" spans="3:6">
      <c r="F94" t="s">
        <v>102</v>
      </c>
    </row>
    <row r="95" spans="3:6">
      <c r="D95" t="s">
        <v>103</v>
      </c>
    </row>
    <row r="96" spans="3:6">
      <c r="E96" t="s">
        <v>104</v>
      </c>
    </row>
    <row r="98" spans="4:5">
      <c r="E98" t="s">
        <v>105</v>
      </c>
    </row>
    <row r="100" spans="4:5">
      <c r="D100" t="s">
        <v>106</v>
      </c>
    </row>
    <row r="102" spans="4:5">
      <c r="D102" s="6" t="s">
        <v>107</v>
      </c>
    </row>
    <row r="104" spans="4:5">
      <c r="D104" t="s">
        <v>109</v>
      </c>
    </row>
  </sheetData>
  <phoneticPr fontId="1" type="noConversion"/>
  <pageMargins left="0.7" right="0.7" top="0.75" bottom="0.75" header="0.3" footer="0.3"/>
  <pageSetup paperSize="9" orientation="portrait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F38"/>
  <sheetViews>
    <sheetView workbookViewId="0">
      <selection activeCell="Q14" sqref="Q14"/>
    </sheetView>
  </sheetViews>
  <sheetFormatPr defaultRowHeight="16.5"/>
  <sheetData>
    <row r="2" spans="2:4">
      <c r="B2" t="s">
        <v>33</v>
      </c>
    </row>
    <row r="3" spans="2:4">
      <c r="B3">
        <v>10</v>
      </c>
      <c r="C3" t="s">
        <v>34</v>
      </c>
    </row>
    <row r="4" spans="2:4">
      <c r="B4">
        <v>200</v>
      </c>
    </row>
    <row r="6" spans="2:4">
      <c r="B6" t="s">
        <v>35</v>
      </c>
    </row>
    <row r="7" spans="2:4">
      <c r="B7">
        <f>80*0.8</f>
        <v>64</v>
      </c>
      <c r="C7" t="s">
        <v>36</v>
      </c>
    </row>
    <row r="8" spans="2:4">
      <c r="B8">
        <f>B7*3.3</f>
        <v>211.2</v>
      </c>
      <c r="C8" t="s">
        <v>37</v>
      </c>
    </row>
    <row r="9" spans="2:4">
      <c r="B9">
        <f>B8^0.5</f>
        <v>14.53272169966796</v>
      </c>
      <c r="C9" t="s">
        <v>38</v>
      </c>
    </row>
    <row r="10" spans="2:4">
      <c r="B10">
        <v>4</v>
      </c>
      <c r="C10" t="s">
        <v>39</v>
      </c>
    </row>
    <row r="11" spans="2:4">
      <c r="B11">
        <f>B9*B10*4</f>
        <v>232.52354719468735</v>
      </c>
      <c r="C11" t="s">
        <v>40</v>
      </c>
    </row>
    <row r="12" spans="2:4">
      <c r="B12" t="s">
        <v>41</v>
      </c>
      <c r="C12">
        <f>B3*B11</f>
        <v>2325.2354719468735</v>
      </c>
      <c r="D12" t="s">
        <v>42</v>
      </c>
    </row>
    <row r="13" spans="2:4">
      <c r="B13" t="s">
        <v>43</v>
      </c>
      <c r="C13">
        <f>B4*B11</f>
        <v>46504.709438937469</v>
      </c>
    </row>
    <row r="15" spans="2:4">
      <c r="C15">
        <f>1/C12*1000</f>
        <v>0.43006397075248465</v>
      </c>
      <c r="D15" t="s">
        <v>44</v>
      </c>
    </row>
    <row r="16" spans="2:4">
      <c r="C16">
        <f>1/C13*1000</f>
        <v>2.1503198537624231E-2</v>
      </c>
    </row>
    <row r="18" spans="2:6">
      <c r="B18" t="s">
        <v>45</v>
      </c>
      <c r="C18">
        <f>cp("Air", "PT", "MKS", 1.03*98, 20+273.15)</f>
        <v>1.0061315387995176</v>
      </c>
      <c r="D18" t="s">
        <v>46</v>
      </c>
    </row>
    <row r="19" spans="2:6">
      <c r="B19" t="s">
        <v>47</v>
      </c>
      <c r="C19">
        <f>density("Air", "PT", "MKS", 1.03*98, 20+273.15)</f>
        <v>1.2000037582968954</v>
      </c>
      <c r="D19" t="s">
        <v>48</v>
      </c>
    </row>
    <row r="20" spans="2:6">
      <c r="B20" t="s">
        <v>49</v>
      </c>
      <c r="C20">
        <v>0.25</v>
      </c>
      <c r="D20" t="s">
        <v>50</v>
      </c>
    </row>
    <row r="21" spans="2:6">
      <c r="C21">
        <f>C20*4.167</f>
        <v>1.04175</v>
      </c>
      <c r="D21" t="s">
        <v>46</v>
      </c>
    </row>
    <row r="22" spans="2:6">
      <c r="B22" t="s">
        <v>51</v>
      </c>
      <c r="C22">
        <v>2400</v>
      </c>
      <c r="D22" t="s">
        <v>48</v>
      </c>
    </row>
    <row r="24" spans="2:6">
      <c r="B24" t="s">
        <v>52</v>
      </c>
      <c r="C24">
        <v>200</v>
      </c>
      <c r="D24" t="s">
        <v>53</v>
      </c>
    </row>
    <row r="27" spans="2:6">
      <c r="B27" t="s">
        <v>54</v>
      </c>
      <c r="C27" t="s">
        <v>41</v>
      </c>
      <c r="D27">
        <f>C16/2</f>
        <v>1.0751599268812116E-2</v>
      </c>
      <c r="E27" t="s">
        <v>44</v>
      </c>
      <c r="F27">
        <v>0.01</v>
      </c>
    </row>
    <row r="28" spans="2:6">
      <c r="C28" t="s">
        <v>43</v>
      </c>
      <c r="D28">
        <f>C15*2</f>
        <v>0.8601279415049693</v>
      </c>
      <c r="F28">
        <v>1</v>
      </c>
    </row>
    <row r="30" spans="2:6">
      <c r="B30" t="s">
        <v>55</v>
      </c>
      <c r="C30" t="s">
        <v>41</v>
      </c>
      <c r="D30">
        <f>D27</f>
        <v>1.0751599268812116E-2</v>
      </c>
      <c r="F30">
        <v>0.01</v>
      </c>
    </row>
    <row r="31" spans="2:6">
      <c r="C31" t="s">
        <v>43</v>
      </c>
      <c r="D31">
        <f>D28*5</f>
        <v>4.3006397075248461</v>
      </c>
      <c r="F31">
        <v>5</v>
      </c>
    </row>
    <row r="33" spans="2:6">
      <c r="B33" t="s">
        <v>56</v>
      </c>
      <c r="C33" t="s">
        <v>41</v>
      </c>
      <c r="D33">
        <f>B8*B10*C19*C18</f>
        <v>1019.9791032503083</v>
      </c>
      <c r="E33" t="s">
        <v>57</v>
      </c>
      <c r="F33">
        <v>1000</v>
      </c>
    </row>
    <row r="34" spans="2:6">
      <c r="C34" t="s">
        <v>43</v>
      </c>
      <c r="D34">
        <f>D33*2</f>
        <v>2039.9582065006166</v>
      </c>
      <c r="F34">
        <v>2000</v>
      </c>
    </row>
    <row r="36" spans="2:6">
      <c r="B36" t="s">
        <v>58</v>
      </c>
      <c r="C36" t="s">
        <v>59</v>
      </c>
      <c r="D36">
        <f>B9*4*C24/1000*B10*C22*C21</f>
        <v>116271.07453923146</v>
      </c>
      <c r="E36" t="s">
        <v>57</v>
      </c>
    </row>
    <row r="37" spans="2:6">
      <c r="C37" t="s">
        <v>41</v>
      </c>
      <c r="D37">
        <f>D36/5</f>
        <v>23254.21490784629</v>
      </c>
      <c r="F37">
        <v>20000</v>
      </c>
    </row>
    <row r="38" spans="2:6">
      <c r="C38" t="s">
        <v>43</v>
      </c>
      <c r="D38">
        <f>D36*2</f>
        <v>232542.14907846291</v>
      </c>
      <c r="F38">
        <v>250000</v>
      </c>
    </row>
  </sheetData>
  <phoneticPr fontId="1" type="noConversion"/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32"/>
  <sheetViews>
    <sheetView topLeftCell="B13" workbookViewId="0">
      <selection activeCell="D19" sqref="D19:K19"/>
    </sheetView>
  </sheetViews>
  <sheetFormatPr defaultRowHeight="16.5"/>
  <sheetData>
    <row r="1" spans="1:21" ht="20.25">
      <c r="A1" s="17" t="s">
        <v>144</v>
      </c>
    </row>
    <row r="2" spans="1:21" ht="20.25">
      <c r="A2" s="17"/>
    </row>
    <row r="3" spans="1:21">
      <c r="B3" t="s">
        <v>112</v>
      </c>
    </row>
    <row r="4" spans="1:21">
      <c r="C4" t="s">
        <v>113</v>
      </c>
    </row>
    <row r="5" spans="1:21">
      <c r="C5" t="s">
        <v>114</v>
      </c>
      <c r="R5" t="s">
        <v>115</v>
      </c>
      <c r="U5" t="s">
        <v>116</v>
      </c>
    </row>
    <row r="6" spans="1:21">
      <c r="C6" t="s">
        <v>117</v>
      </c>
    </row>
    <row r="7" spans="1:21">
      <c r="C7" t="s">
        <v>118</v>
      </c>
      <c r="R7" s="7" t="s">
        <v>119</v>
      </c>
      <c r="S7" s="7"/>
      <c r="U7" t="s">
        <v>120</v>
      </c>
    </row>
    <row r="8" spans="1:21">
      <c r="C8" t="s">
        <v>121</v>
      </c>
    </row>
    <row r="9" spans="1:21">
      <c r="R9" s="8" t="s">
        <v>122</v>
      </c>
      <c r="S9" s="8"/>
    </row>
    <row r="11" spans="1:21">
      <c r="B11" t="s">
        <v>123</v>
      </c>
    </row>
    <row r="12" spans="1:21">
      <c r="C12" t="s">
        <v>124</v>
      </c>
    </row>
    <row r="13" spans="1:21">
      <c r="D13" t="s">
        <v>125</v>
      </c>
    </row>
    <row r="14" spans="1:21">
      <c r="D14" t="s">
        <v>126</v>
      </c>
    </row>
    <row r="15" spans="1:21">
      <c r="D15" t="s">
        <v>127</v>
      </c>
    </row>
    <row r="16" spans="1:21">
      <c r="D16" t="s">
        <v>128</v>
      </c>
    </row>
    <row r="17" spans="3:15">
      <c r="E17" s="9" t="s">
        <v>129</v>
      </c>
      <c r="F17" s="8"/>
      <c r="G17" s="8"/>
      <c r="H17" s="8"/>
      <c r="I17" s="8"/>
      <c r="J17" s="8"/>
      <c r="K17" s="8"/>
      <c r="N17" s="3" t="s">
        <v>149</v>
      </c>
    </row>
    <row r="18" spans="3:15" s="10" customFormat="1">
      <c r="E18" s="11" t="s">
        <v>130</v>
      </c>
      <c r="N18" s="20" t="s">
        <v>150</v>
      </c>
    </row>
    <row r="19" spans="3:15">
      <c r="D19" s="10" t="s">
        <v>131</v>
      </c>
    </row>
    <row r="21" spans="3:15">
      <c r="C21" t="s">
        <v>132</v>
      </c>
    </row>
    <row r="22" spans="3:15">
      <c r="D22" t="s">
        <v>151</v>
      </c>
    </row>
    <row r="23" spans="3:15">
      <c r="D23" t="s">
        <v>152</v>
      </c>
    </row>
    <row r="25" spans="3:15">
      <c r="C25" t="s">
        <v>133</v>
      </c>
    </row>
    <row r="26" spans="3:15">
      <c r="D26" t="s">
        <v>153</v>
      </c>
      <c r="L26" t="s">
        <v>154</v>
      </c>
    </row>
    <row r="27" spans="3:15" ht="18.75">
      <c r="D27" s="12" t="s">
        <v>134</v>
      </c>
      <c r="L27" s="12" t="s">
        <v>134</v>
      </c>
    </row>
    <row r="28" spans="3:15" ht="17.25" thickBot="1">
      <c r="D28" s="13" t="s">
        <v>135</v>
      </c>
      <c r="E28" s="13" t="s">
        <v>136</v>
      </c>
      <c r="F28" s="13" t="s">
        <v>137</v>
      </c>
      <c r="G28" s="13" t="s">
        <v>138</v>
      </c>
      <c r="L28" s="13" t="s">
        <v>135</v>
      </c>
      <c r="M28" s="13" t="s">
        <v>136</v>
      </c>
      <c r="N28" s="13" t="s">
        <v>137</v>
      </c>
      <c r="O28" s="13" t="s">
        <v>138</v>
      </c>
    </row>
    <row r="29" spans="3:15">
      <c r="D29" s="14">
        <v>332.548</v>
      </c>
      <c r="E29" s="15">
        <v>0.88870000000000005</v>
      </c>
      <c r="F29" s="15">
        <v>0.88839999999999997</v>
      </c>
      <c r="G29" s="15">
        <v>0.88770000000000004</v>
      </c>
      <c r="L29" s="14">
        <v>370.75299999999999</v>
      </c>
      <c r="M29" s="15">
        <v>0.86319999999999997</v>
      </c>
      <c r="N29" s="15">
        <v>0.86209999999999998</v>
      </c>
      <c r="O29" s="15">
        <v>0.85870000000000002</v>
      </c>
    </row>
    <row r="31" spans="3:15" ht="18.75">
      <c r="D31" s="12" t="s">
        <v>139</v>
      </c>
      <c r="L31" s="12" t="s">
        <v>139</v>
      </c>
    </row>
    <row r="32" spans="3:15">
      <c r="D32" s="16" t="s">
        <v>140</v>
      </c>
      <c r="E32" s="16" t="s">
        <v>141</v>
      </c>
      <c r="F32" s="16" t="s">
        <v>142</v>
      </c>
      <c r="L32" s="16" t="s">
        <v>140</v>
      </c>
      <c r="M32" s="16" t="s">
        <v>141</v>
      </c>
      <c r="N32" s="16" t="s">
        <v>155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온도예측모델</vt:lpstr>
      <vt:lpstr>(변수의범위)</vt:lpstr>
      <vt:lpstr>에너지예측모델</vt:lpstr>
    </vt:vector>
  </TitlesOfParts>
  <Company>Samsung Electronics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이석호/공조솔루션개발Lab2(생활가전)/Principal Engineer/삼성전자</dc:creator>
  <cp:lastModifiedBy>이석호/공조솔루션개발Lab2(생활가전)/Principal Engineer/삼성전자</cp:lastModifiedBy>
  <dcterms:created xsi:type="dcterms:W3CDTF">2023-08-17T02:09:05Z</dcterms:created>
  <dcterms:modified xsi:type="dcterms:W3CDTF">2023-09-12T02:21:16Z</dcterms:modified>
</cp:coreProperties>
</file>